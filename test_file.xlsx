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Divyesh\IFC\AmazonDB\"/>
    </mc:Choice>
  </mc:AlternateContent>
  <xr:revisionPtr revIDLastSave="0" documentId="13_ncr:1_{A9D969A1-7C60-4464-BD4F-60F947FFC387}" xr6:coauthVersionLast="47" xr6:coauthVersionMax="47" xr10:uidLastSave="{00000000-0000-0000-0000-000000000000}"/>
  <bookViews>
    <workbookView xWindow="-28920" yWindow="-120" windowWidth="29040" windowHeight="15720" xr2:uid="{00000000-000D-0000-FFFF-FFFF00000000}"/>
  </bookViews>
  <sheets>
    <sheet name="Report O2C - Part A" sheetId="3" r:id="rId1"/>
    <sheet name="Report O2C - Part B"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B5" i="4"/>
  <c r="B6" i="4" s="1"/>
  <c r="B7" i="4" s="1"/>
  <c r="B8" i="4" s="1"/>
</calcChain>
</file>

<file path=xl/sharedStrings.xml><?xml version="1.0" encoding="utf-8"?>
<sst xmlns="http://schemas.openxmlformats.org/spreadsheetml/2006/main" count="121" uniqueCount="84">
  <si>
    <t>SN</t>
  </si>
  <si>
    <t>Description of Control</t>
  </si>
  <si>
    <t>Process</t>
  </si>
  <si>
    <t>Sub-process</t>
  </si>
  <si>
    <t>Risk Description / What Could Go Wrong (Misstatement, Misrepresentation, etc.)</t>
  </si>
  <si>
    <t>Whether fraud risks exist</t>
  </si>
  <si>
    <t>Control Objective</t>
  </si>
  <si>
    <t>Control to address "What could go wrong"</t>
  </si>
  <si>
    <t>Whether Management Review Control (MRC) or not</t>
  </si>
  <si>
    <t>Gap Description &amp; Resolution</t>
  </si>
  <si>
    <t>Relevant Data Elements of IPE</t>
  </si>
  <si>
    <t>Type of Control  (Preventive, detective)</t>
  </si>
  <si>
    <t>Nature of Control (Manual or Automated)</t>
  </si>
  <si>
    <t>Type of Risk Mitigation method exercised (Insurance, hedging, sign offs, approvals)</t>
  </si>
  <si>
    <t>Process owner</t>
  </si>
  <si>
    <t>Reviewer/ Process Supervisor</t>
  </si>
  <si>
    <t>Completeness</t>
  </si>
  <si>
    <t>Existence &amp; Occurrence</t>
  </si>
  <si>
    <t>Ownership of Rights and Obligations</t>
  </si>
  <si>
    <t>Valuation</t>
  </si>
  <si>
    <t>Presentation</t>
  </si>
  <si>
    <t>Accuracy</t>
  </si>
  <si>
    <t>Control frequency (Recurring, weekly, monthly)</t>
  </si>
  <si>
    <t>Basis of sampling</t>
  </si>
  <si>
    <t>Documents to be reviewed as a part of DMS audit</t>
  </si>
  <si>
    <t>Type of risk associated with the process flow</t>
  </si>
  <si>
    <t>Financial Reporting - Head in BS &amp; PL</t>
  </si>
  <si>
    <t>Checks performed</t>
  </si>
  <si>
    <t>Findings</t>
  </si>
  <si>
    <t>-</t>
  </si>
  <si>
    <t>Preventive</t>
  </si>
  <si>
    <t>No</t>
  </si>
  <si>
    <t>Preventive, Detective &amp; Corrective</t>
  </si>
  <si>
    <t>Systematic random sampling</t>
  </si>
  <si>
    <t>Report on Internal Control (Financial &amp; Non-financial)</t>
  </si>
  <si>
    <t>Information Produced by the Entity (IPE) implemented in the operation of the Control - Source data/ Report logic/ Report parameters</t>
  </si>
  <si>
    <t>DONE</t>
  </si>
  <si>
    <r>
      <t xml:space="preserve">Customer </t>
    </r>
    <r>
      <rPr>
        <sz val="9"/>
        <color rgb="FFFF0000"/>
        <rFont val="Calibri"/>
        <family val="2"/>
        <scheme val="minor"/>
      </rPr>
      <t>Acquisition</t>
    </r>
  </si>
  <si>
    <t>Marketing</t>
  </si>
  <si>
    <t>There could be instances where, Pre-sale credit risk analysis of the customer is not performed or customer persuasion could result in higher costs than the profitability of the customer</t>
  </si>
  <si>
    <t>Yes, third party fraud risk, most likely (due to higher credit risks)</t>
  </si>
  <si>
    <t>To make sure that the process flow is smooth and error free in its induction level. The cost of customer procurement must not exceed the benefit/ profitability from that customer</t>
  </si>
  <si>
    <t>Currently there are no gaps in this process flow, as it is ensured since the inception phase, that the customer is credible &amp; no credit risk exists. Further insurance &amp; credit limits are set, which limits the financial risk due to non payments by the customers.</t>
  </si>
  <si>
    <r>
      <rPr>
        <b/>
        <sz val="9"/>
        <color theme="1"/>
        <rFont val="Calibri"/>
        <family val="2"/>
        <scheme val="minor"/>
      </rPr>
      <t xml:space="preserve">Report parameters
</t>
    </r>
    <r>
      <rPr>
        <sz val="9"/>
        <color theme="1"/>
        <rFont val="Calibri"/>
        <family val="2"/>
        <scheme val="minor"/>
      </rPr>
      <t>SAP - Report on Insurance &amp; Credit limits of all the debtors</t>
    </r>
  </si>
  <si>
    <t>Credit limit report &amp; debtors' ledgers, where needed</t>
  </si>
  <si>
    <t>Manual &amp; Automated checks (Z reports)</t>
  </si>
  <si>
    <t>Insurance, review &amp; approvals</t>
  </si>
  <si>
    <t>As per authorization matrix</t>
  </si>
  <si>
    <t>As &amp; when needed</t>
  </si>
  <si>
    <t>NA</t>
  </si>
  <si>
    <t>Operational, Legal, Business &amp; Managerial Risk</t>
  </si>
  <si>
    <t>Non-financial process</t>
  </si>
  <si>
    <t>Revenue to Receivables</t>
  </si>
  <si>
    <r>
      <t xml:space="preserve">Domestic - NA
</t>
    </r>
    <r>
      <rPr>
        <sz val="9"/>
        <color rgb="FFC00000"/>
        <rFont val="Calibri"/>
        <family val="2"/>
        <scheme val="minor"/>
      </rPr>
      <t>Exports - NA</t>
    </r>
  </si>
  <si>
    <t>Business, Financial &amp; Operational Risk (Data Integrity)</t>
  </si>
  <si>
    <t>Systematic random sampling for detail check - Refer sample data file</t>
  </si>
  <si>
    <t>Non-financial (Revenue from Operations &amp; Other Income)</t>
  </si>
  <si>
    <t>Sales Order Confirmation</t>
  </si>
  <si>
    <t>Invoice generated could be for a lower quantity, different quality or different price, as compared to that locked in the Sales Order. Changes in SO terms (modification)</t>
  </si>
  <si>
    <t>To make sure that the sales order quantity and invoice quantity match. In case of any differences, the same should be justified, at the time of SO confirmation &amp; closing (specifically for short closed SO)</t>
  </si>
  <si>
    <t>The system should restrict the  generation of Sales invoice for a quantity exceeding the SO qty, unless approved by HOD. For quantities short closed during the period, the user must select the reason, for short close. HOD approval or intimation wherever necessary should be ensured.</t>
  </si>
  <si>
    <t>Not feasible, due to volume</t>
  </si>
  <si>
    <t>Automated with Manual checks (review)</t>
  </si>
  <si>
    <t>Approval &amp; Review</t>
  </si>
  <si>
    <t>IT Dept.</t>
  </si>
  <si>
    <t>Recurring &amp; periodic</t>
  </si>
  <si>
    <t>The marketing team ensures the credibility &amp; credit risk check of the customer at their level. New customers are usually taken on advance payments. All credit balances are insured against credit risks. Total outstanding balances against each customer is set before entering into transactions &amp; it is further ascertained that appropriate authorizations are obtained before booking any invoices against the customer, whose credit limit is exhausted</t>
  </si>
  <si>
    <t>Multi level review by business heads &amp; HOD, in case of first time customers</t>
  </si>
  <si>
    <t>No significant gaps have been identified in this process. The previously reported error in SAP reports have been marked as inherent (SAP Standard report)</t>
  </si>
  <si>
    <r>
      <rPr>
        <b/>
        <sz val="9"/>
        <rFont val="Calibri"/>
        <family val="2"/>
        <scheme val="minor"/>
      </rPr>
      <t>Report parameters
SAP</t>
    </r>
    <r>
      <rPr>
        <sz val="9"/>
        <rFont val="Calibri"/>
        <family val="2"/>
        <scheme val="minor"/>
      </rPr>
      <t xml:space="preserve"> - Sales Order Confirmed &amp; Released
</t>
    </r>
    <r>
      <rPr>
        <b/>
        <sz val="9"/>
        <rFont val="Calibri"/>
        <family val="2"/>
        <scheme val="minor"/>
      </rPr>
      <t>Manual</t>
    </r>
    <r>
      <rPr>
        <sz val="9"/>
        <rFont val="Calibri"/>
        <family val="2"/>
        <scheme val="minor"/>
      </rPr>
      <t xml:space="preserve"> - Correspondence stating reason for short close/ amendment</t>
    </r>
  </si>
  <si>
    <t>SO v/s Outbound delivery v/s Invoices raised
Short closed qty or amendments in SO</t>
  </si>
  <si>
    <t>rodtep</t>
  </si>
  <si>
    <t>Effective or Not Effective</t>
  </si>
  <si>
    <t>Effective</t>
  </si>
  <si>
    <t>Folder</t>
  </si>
  <si>
    <t>C1</t>
  </si>
  <si>
    <t>C4</t>
  </si>
  <si>
    <t>DONE - Sample Count and Sample Type</t>
  </si>
  <si>
    <t>We have verfied the credit limits defined in the system with Customer ledgers and identified the instances where credit limit is exhausted and for such cases we have taken the approval data from the SAP.</t>
  </si>
  <si>
    <t>System process walkthrough is performed and checked that Invoice cannot be more than Sales Order.</t>
  </si>
  <si>
    <t>divyeshparmar0909@gmail.com</t>
  </si>
  <si>
    <t>divyesh.parmar@sharpandtannan.com</t>
  </si>
  <si>
    <t>Customer Testing (credit risk analysis)</t>
  </si>
  <si>
    <t>Sales Order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</si>
</sst>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1"/>
      <color theme="1"/>
      <name val="Calibri"/>
      <family val="2"/>
      <scheme val="minor"/>
    </font>
    <font>
      <sz val="9"/>
      <color theme="1"/>
      <name val="Calibri"/>
      <family val="2"/>
      <scheme val="minor"/>
    </font>
    <font>
      <b/>
      <sz val="9"/>
      <color theme="1"/>
      <name val="Calibri"/>
      <family val="2"/>
      <scheme val="minor"/>
    </font>
    <font>
      <b/>
      <sz val="9"/>
      <name val="Calibri"/>
      <family val="2"/>
      <scheme val="minor"/>
    </font>
    <font>
      <sz val="9"/>
      <color rgb="FFFF0000"/>
      <name val="Calibri"/>
      <family val="2"/>
      <scheme val="minor"/>
    </font>
    <font>
      <sz val="9"/>
      <name val="Calibri"/>
      <family val="2"/>
      <scheme val="minor"/>
    </font>
    <font>
      <sz val="9"/>
      <color rgb="FFC00000"/>
      <name val="Calibri"/>
      <family val="2"/>
      <scheme val="minor"/>
    </font>
    <font>
      <b/>
      <sz val="9"/>
      <color rgb="FFFF0000"/>
      <name val="Calibri"/>
      <family val="2"/>
      <scheme val="minor"/>
    </font>
    <font>
      <u/>
      <sz val="10"/>
      <color theme="10"/>
      <name val="Arial"/>
    </font>
  </fonts>
  <fills count="8">
    <fill>
      <patternFill patternType="none"/>
    </fill>
    <fill>
      <patternFill patternType="gray125"/>
    </fill>
    <fill>
      <patternFill patternType="solid">
        <fgColor theme="3"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9" fillId="0" borderId="0" applyNumberFormat="0" applyFill="0" applyBorder="0" applyAlignment="0" applyProtection="0"/>
  </cellStyleXfs>
  <cellXfs count="20">
    <xf numFmtId="0" fontId="0" fillId="0" borderId="0" xfId="0" applyAlignment="1">
      <alignment vertical="top"/>
    </xf>
    <xf numFmtId="0" fontId="2" fillId="0" borderId="0" xfId="1" applyFont="1" applyAlignment="1">
      <alignment horizontal="left"/>
    </xf>
    <xf numFmtId="0" fontId="3" fillId="0" borderId="0" xfId="1" applyFont="1" applyAlignment="1">
      <alignment horizontal="left"/>
    </xf>
    <xf numFmtId="0" fontId="2" fillId="0" borderId="0" xfId="1" applyFont="1" applyAlignment="1">
      <alignment horizontal="center" vertical="center" wrapText="1"/>
    </xf>
    <xf numFmtId="0" fontId="3" fillId="2" borderId="1" xfId="1" applyFont="1" applyFill="1" applyBorder="1" applyAlignment="1">
      <alignment horizontal="center" vertical="center" wrapText="1"/>
    </xf>
    <xf numFmtId="0" fontId="4" fillId="2" borderId="1" xfId="1" applyFont="1" applyFill="1" applyBorder="1" applyAlignment="1">
      <alignment horizontal="center" vertical="center" textRotation="90" wrapText="1"/>
    </xf>
    <xf numFmtId="0" fontId="3" fillId="0" borderId="0" xfId="1" applyFont="1" applyAlignment="1">
      <alignment vertical="center" textRotation="90" wrapText="1"/>
    </xf>
    <xf numFmtId="0" fontId="2" fillId="3" borderId="1" xfId="1" applyFont="1" applyFill="1" applyBorder="1" applyAlignment="1">
      <alignment horizontal="center" vertical="center" wrapText="1"/>
    </xf>
    <xf numFmtId="0" fontId="2" fillId="0" borderId="1" xfId="1" applyFont="1" applyBorder="1" applyAlignment="1">
      <alignment horizontal="center"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textRotation="90" wrapText="1"/>
    </xf>
    <xf numFmtId="0" fontId="6" fillId="4" borderId="1" xfId="1" applyFont="1" applyFill="1" applyBorder="1" applyAlignment="1">
      <alignment horizontal="center" vertical="center" textRotation="90" wrapText="1"/>
    </xf>
    <xf numFmtId="0" fontId="3" fillId="5" borderId="1" xfId="1" applyFont="1" applyFill="1" applyBorder="1" applyAlignment="1">
      <alignment horizontal="center" vertical="center" wrapText="1"/>
    </xf>
    <xf numFmtId="0" fontId="4" fillId="0" borderId="0" xfId="1" applyFont="1" applyAlignment="1">
      <alignment vertical="center" textRotation="90" wrapText="1"/>
    </xf>
    <xf numFmtId="0" fontId="6" fillId="0" borderId="0" xfId="1" applyFont="1" applyAlignment="1">
      <alignment horizontal="center" vertical="center" wrapText="1"/>
    </xf>
    <xf numFmtId="0" fontId="3" fillId="6" borderId="1" xfId="1" applyFont="1" applyFill="1" applyBorder="1" applyAlignment="1">
      <alignment horizontal="center" vertical="center" wrapText="1"/>
    </xf>
    <xf numFmtId="0" fontId="5" fillId="0" borderId="0" xfId="1" applyFont="1" applyAlignment="1">
      <alignment horizontal="center" vertical="center" wrapText="1"/>
    </xf>
    <xf numFmtId="0" fontId="8" fillId="0" borderId="0" xfId="1" applyFont="1" applyAlignment="1">
      <alignment vertical="center" textRotation="90" wrapText="1"/>
    </xf>
    <xf numFmtId="0" fontId="3" fillId="7" borderId="0" xfId="1" applyFont="1" applyFill="1" applyAlignment="1">
      <alignment horizontal="center" vertical="center" wrapText="1"/>
    </xf>
    <xf numFmtId="0" fontId="9" fillId="0" borderId="1" xfId="2" applyBorder="1" applyAlignment="1">
      <alignment horizontal="center" vertical="center" wrapText="1"/>
    </xf>
  </cellXfs>
  <cellStyles count="3">
    <cellStyle name="Hyperlink" xfId="2" builtinId="8"/>
    <cellStyle name="Normal" xfId="0" builtinId="0"/>
    <cellStyle name="Normal 2" xfId="1" xr:uid="{827DEC9C-2695-4472-A0B0-4CDBDBC7B2F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ivyesh.parmar@sharpandtannan.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divyeshparmar090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4FC6-B306-4313-9A22-50D953A77C07}">
  <sheetPr codeName="Sheet1"/>
  <dimension ref="A1:AH5"/>
  <sheetViews>
    <sheetView tabSelected="1" zoomScale="110" zoomScaleNormal="110" workbookViewId="0">
      <pane xSplit="3" ySplit="2" topLeftCell="O3" activePane="bottomRight" state="frozen"/>
      <selection activeCell="C4" sqref="C4"/>
      <selection pane="topRight" activeCell="C4" sqref="C4"/>
      <selection pane="bottomLeft" activeCell="C4" sqref="C4"/>
      <selection pane="bottomRight" activeCell="AG4" sqref="AG4"/>
    </sheetView>
  </sheetViews>
  <sheetFormatPr defaultColWidth="9.28515625" defaultRowHeight="12" x14ac:dyDescent="0.2"/>
  <cols>
    <col min="1" max="1" width="1.7109375" style="1" customWidth="1"/>
    <col min="2" max="2" width="3.28515625" style="1" customWidth="1"/>
    <col min="3" max="3" width="27.5703125" style="1" customWidth="1"/>
    <col min="4" max="4" width="10.42578125" style="1" customWidth="1"/>
    <col min="5" max="5" width="11.7109375" style="1" customWidth="1"/>
    <col min="6" max="6" width="27.7109375" style="1" customWidth="1"/>
    <col min="7" max="7" width="9.5703125" style="1" customWidth="1"/>
    <col min="8" max="8" width="22" style="1" customWidth="1"/>
    <col min="9" max="9" width="35.28515625" style="1" customWidth="1"/>
    <col min="10" max="10" width="16.7109375" style="1" customWidth="1"/>
    <col min="11" max="11" width="33" style="1" customWidth="1"/>
    <col min="12" max="12" width="18" style="1" customWidth="1"/>
    <col min="13" max="14" width="12.28515625" style="1" customWidth="1"/>
    <col min="15" max="15" width="11.7109375" style="1" customWidth="1"/>
    <col min="16" max="16" width="13.5703125" style="1" customWidth="1"/>
    <col min="17" max="17" width="8.85546875" style="1" bestFit="1" customWidth="1"/>
    <col min="18" max="18" width="9.5703125" style="1" bestFit="1" customWidth="1"/>
    <col min="19" max="24" width="5.42578125" style="1" hidden="1" customWidth="1"/>
    <col min="25" max="25" width="9.7109375" style="1" bestFit="1" customWidth="1"/>
    <col min="26" max="26" width="11.140625" style="1" bestFit="1" customWidth="1"/>
    <col min="27" max="28" width="14.42578125" style="1" customWidth="1"/>
    <col min="29" max="29" width="9.7109375" style="1" customWidth="1"/>
    <col min="30" max="30" width="24.7109375" style="1" customWidth="1"/>
    <col min="31" max="31" width="19.28515625" style="1" customWidth="1"/>
    <col min="32" max="32" width="20" style="1" customWidth="1"/>
    <col min="33" max="33" width="26.42578125" style="1" customWidth="1"/>
    <col min="34" max="16384" width="9.28515625" style="1"/>
  </cols>
  <sheetData>
    <row r="1" spans="1:34" x14ac:dyDescent="0.2">
      <c r="B1" s="2" t="s">
        <v>34</v>
      </c>
    </row>
    <row r="2" spans="1:34" s="3" customFormat="1" ht="96.75" x14ac:dyDescent="0.2">
      <c r="B2" s="4" t="s">
        <v>0</v>
      </c>
      <c r="C2" s="4" t="s">
        <v>1</v>
      </c>
      <c r="D2" s="4" t="s">
        <v>2</v>
      </c>
      <c r="E2" s="4" t="s">
        <v>3</v>
      </c>
      <c r="F2" s="4" t="s">
        <v>4</v>
      </c>
      <c r="G2" s="4" t="s">
        <v>5</v>
      </c>
      <c r="H2" s="4" t="s">
        <v>6</v>
      </c>
      <c r="I2" s="4" t="s">
        <v>7</v>
      </c>
      <c r="J2" s="4" t="s">
        <v>8</v>
      </c>
      <c r="K2" s="4" t="s">
        <v>9</v>
      </c>
      <c r="L2" s="4" t="s">
        <v>35</v>
      </c>
      <c r="M2" s="4" t="s">
        <v>10</v>
      </c>
      <c r="N2" s="4" t="s">
        <v>11</v>
      </c>
      <c r="O2" s="4" t="s">
        <v>12</v>
      </c>
      <c r="P2" s="4" t="s">
        <v>13</v>
      </c>
      <c r="Q2" s="4" t="s">
        <v>14</v>
      </c>
      <c r="R2" s="4" t="s">
        <v>15</v>
      </c>
      <c r="S2" s="5" t="s">
        <v>16</v>
      </c>
      <c r="T2" s="5" t="s">
        <v>17</v>
      </c>
      <c r="U2" s="5" t="s">
        <v>18</v>
      </c>
      <c r="V2" s="5" t="s">
        <v>19</v>
      </c>
      <c r="W2" s="5" t="s">
        <v>20</v>
      </c>
      <c r="X2" s="5" t="s">
        <v>21</v>
      </c>
      <c r="Y2" s="4" t="s">
        <v>22</v>
      </c>
      <c r="Z2" s="4" t="s">
        <v>23</v>
      </c>
      <c r="AA2" s="4" t="s">
        <v>24</v>
      </c>
      <c r="AB2" s="4" t="s">
        <v>25</v>
      </c>
      <c r="AC2" s="4" t="s">
        <v>26</v>
      </c>
      <c r="AD2" s="15" t="s">
        <v>27</v>
      </c>
      <c r="AE2" s="18" t="s">
        <v>72</v>
      </c>
      <c r="AF2" s="4" t="s">
        <v>36</v>
      </c>
      <c r="AG2" s="12" t="s">
        <v>28</v>
      </c>
      <c r="AH2" s="3" t="s">
        <v>74</v>
      </c>
    </row>
    <row r="3" spans="1:34" s="3" customFormat="1" ht="12.75" x14ac:dyDescent="0.2">
      <c r="A3" s="6"/>
      <c r="B3" s="7"/>
      <c r="C3" s="8"/>
      <c r="D3" s="8"/>
      <c r="E3" s="8"/>
      <c r="F3" s="8"/>
      <c r="G3" s="8"/>
      <c r="H3" s="8"/>
      <c r="I3" s="8"/>
      <c r="J3" s="8"/>
      <c r="K3" s="8"/>
      <c r="L3" s="8"/>
      <c r="M3" s="8"/>
      <c r="N3" s="8"/>
      <c r="O3" s="9"/>
      <c r="P3" s="8"/>
      <c r="Q3" s="19"/>
      <c r="R3" s="8"/>
      <c r="S3" s="10"/>
      <c r="T3" s="10"/>
      <c r="U3" s="10"/>
      <c r="V3" s="10"/>
      <c r="W3" s="10"/>
      <c r="X3" s="10"/>
      <c r="Y3" s="8"/>
      <c r="Z3" s="8"/>
      <c r="AA3" s="8"/>
      <c r="AB3" s="8"/>
      <c r="AC3" s="8"/>
      <c r="AD3" s="8"/>
      <c r="AF3" s="8"/>
      <c r="AG3" s="8"/>
    </row>
    <row r="4" spans="1:34" s="3" customFormat="1" ht="144" x14ac:dyDescent="0.2">
      <c r="A4" s="6"/>
      <c r="B4" s="7">
        <v>1</v>
      </c>
      <c r="C4" s="8" t="s">
        <v>82</v>
      </c>
      <c r="D4" s="8" t="s">
        <v>37</v>
      </c>
      <c r="E4" s="8" t="s">
        <v>38</v>
      </c>
      <c r="F4" s="8" t="s">
        <v>39</v>
      </c>
      <c r="G4" s="8" t="s">
        <v>40</v>
      </c>
      <c r="H4" s="8" t="s">
        <v>41</v>
      </c>
      <c r="I4" s="8" t="s">
        <v>66</v>
      </c>
      <c r="J4" s="8" t="s">
        <v>67</v>
      </c>
      <c r="K4" s="8" t="s">
        <v>42</v>
      </c>
      <c r="L4" s="8" t="s">
        <v>43</v>
      </c>
      <c r="M4" s="8" t="s">
        <v>44</v>
      </c>
      <c r="N4" s="8" t="s">
        <v>30</v>
      </c>
      <c r="O4" s="9" t="s">
        <v>45</v>
      </c>
      <c r="P4" s="8" t="s">
        <v>46</v>
      </c>
      <c r="Q4" s="19" t="s">
        <v>81</v>
      </c>
      <c r="R4" s="8" t="s">
        <v>47</v>
      </c>
      <c r="S4" s="10"/>
      <c r="T4" s="10"/>
      <c r="U4" s="10"/>
      <c r="V4" s="10"/>
      <c r="W4" s="10"/>
      <c r="X4" s="10"/>
      <c r="Y4" s="8" t="s">
        <v>48</v>
      </c>
      <c r="Z4" s="8" t="s">
        <v>33</v>
      </c>
      <c r="AA4" s="8" t="s">
        <v>49</v>
      </c>
      <c r="AB4" s="8" t="s">
        <v>50</v>
      </c>
      <c r="AC4" s="8" t="s">
        <v>51</v>
      </c>
      <c r="AD4" s="8" t="s">
        <v>78</v>
      </c>
      <c r="AE4" s="3" t="s">
        <v>73</v>
      </c>
      <c r="AF4" s="8" t="s">
        <v>78</v>
      </c>
      <c r="AG4" s="8" t="s">
        <v>29</v>
      </c>
      <c r="AH4" s="3" t="s">
        <v>75</v>
      </c>
    </row>
    <row r="5" spans="1:34" ht="127.9" customHeight="1" x14ac:dyDescent="0.2">
      <c r="A5" s="6"/>
      <c r="B5" s="7"/>
      <c r="C5" s="8"/>
      <c r="D5" s="8"/>
      <c r="E5" s="8"/>
      <c r="F5" s="8"/>
      <c r="G5" s="8"/>
      <c r="H5" s="8"/>
      <c r="I5" s="8"/>
      <c r="J5" s="9"/>
      <c r="K5" s="9"/>
      <c r="L5" s="8"/>
      <c r="M5" s="8"/>
      <c r="N5" s="8"/>
      <c r="O5" s="9"/>
      <c r="P5" s="8"/>
      <c r="Q5" s="8"/>
      <c r="R5" s="8"/>
      <c r="S5" s="11"/>
      <c r="T5" s="11"/>
      <c r="U5" s="11"/>
      <c r="V5" s="11"/>
      <c r="W5" s="11"/>
      <c r="X5" s="11"/>
      <c r="Y5" s="8"/>
      <c r="Z5" s="8"/>
      <c r="AA5" s="8"/>
      <c r="AB5" s="8"/>
      <c r="AC5" s="8"/>
      <c r="AD5" s="8"/>
      <c r="AE5" s="8"/>
      <c r="AF5" s="8"/>
      <c r="AG5" s="8"/>
      <c r="AH5" s="3"/>
    </row>
  </sheetData>
  <hyperlinks>
    <hyperlink ref="Q4" r:id="rId1" xr:uid="{27249811-1D22-4D47-AA96-D2E1E20EBF9B}"/>
  </hyperlinks>
  <pageMargins left="0" right="0" top="0" bottom="0" header="0" footer="0"/>
  <pageSetup paperSize="9" scale="50" orientation="landscape"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BBC7A-06CE-4B32-84B6-484DDA2E3FD2}">
  <sheetPr codeName="Sheet2"/>
  <dimension ref="A1:AH9"/>
  <sheetViews>
    <sheetView zoomScaleNormal="100" workbookViewId="0">
      <pane xSplit="3" ySplit="2" topLeftCell="M3" activePane="bottomRight" state="frozen"/>
      <selection activeCell="C4" sqref="C4"/>
      <selection pane="topRight" activeCell="C4" sqref="C4"/>
      <selection pane="bottomLeft" activeCell="C4" sqref="C4"/>
      <selection pane="bottomRight" activeCell="AG4" sqref="AG4"/>
    </sheetView>
  </sheetViews>
  <sheetFormatPr defaultColWidth="9.28515625" defaultRowHeight="12" x14ac:dyDescent="0.2"/>
  <cols>
    <col min="1" max="1" width="1.28515625" style="1" customWidth="1"/>
    <col min="2" max="2" width="3.28515625" style="1" customWidth="1"/>
    <col min="3" max="3" width="27.5703125" style="1" customWidth="1"/>
    <col min="4" max="4" width="14.85546875" style="1" customWidth="1"/>
    <col min="5" max="5" width="14.28515625" style="1" customWidth="1"/>
    <col min="6" max="6" width="27.7109375" style="1" customWidth="1"/>
    <col min="7" max="7" width="9.5703125" style="1" customWidth="1"/>
    <col min="8" max="8" width="22" style="1" customWidth="1"/>
    <col min="9" max="9" width="35.28515625" style="1" customWidth="1"/>
    <col min="10" max="10" width="20.42578125" style="1" customWidth="1"/>
    <col min="11" max="11" width="33" style="1" customWidth="1"/>
    <col min="12" max="12" width="22" style="1" customWidth="1"/>
    <col min="13" max="14" width="12.28515625" style="1" customWidth="1"/>
    <col min="15" max="15" width="11.7109375" style="1" customWidth="1"/>
    <col min="16" max="16" width="13.5703125" style="1" customWidth="1"/>
    <col min="17" max="17" width="10" style="1" customWidth="1"/>
    <col min="18" max="18" width="9.5703125" style="1" bestFit="1" customWidth="1"/>
    <col min="19" max="24" width="5.42578125" style="1" hidden="1" customWidth="1"/>
    <col min="25" max="25" width="9.7109375" style="1" bestFit="1" customWidth="1"/>
    <col min="26" max="26" width="11.140625" style="1" bestFit="1" customWidth="1"/>
    <col min="27" max="28" width="14.42578125" style="1" customWidth="1"/>
    <col min="29" max="29" width="9.7109375" style="1" customWidth="1"/>
    <col min="30" max="30" width="24.7109375" style="1" customWidth="1"/>
    <col min="31" max="31" width="24.5703125" style="1" customWidth="1"/>
    <col min="32" max="32" width="20" style="1" customWidth="1"/>
    <col min="33" max="33" width="26.42578125" style="1" customWidth="1"/>
    <col min="34" max="16384" width="9.28515625" style="1"/>
  </cols>
  <sheetData>
    <row r="1" spans="1:34" x14ac:dyDescent="0.2">
      <c r="B1" s="2" t="s">
        <v>34</v>
      </c>
    </row>
    <row r="2" spans="1:34" s="3" customFormat="1" ht="127.15" customHeight="1" x14ac:dyDescent="0.2">
      <c r="B2" s="4" t="s">
        <v>0</v>
      </c>
      <c r="C2" s="4" t="s">
        <v>1</v>
      </c>
      <c r="D2" s="4" t="s">
        <v>2</v>
      </c>
      <c r="E2" s="4" t="s">
        <v>3</v>
      </c>
      <c r="F2" s="4" t="s">
        <v>4</v>
      </c>
      <c r="G2" s="4" t="s">
        <v>5</v>
      </c>
      <c r="H2" s="4" t="s">
        <v>6</v>
      </c>
      <c r="I2" s="4" t="s">
        <v>7</v>
      </c>
      <c r="J2" s="4" t="s">
        <v>8</v>
      </c>
      <c r="K2" s="4" t="s">
        <v>9</v>
      </c>
      <c r="L2" s="4" t="s">
        <v>35</v>
      </c>
      <c r="M2" s="4" t="s">
        <v>10</v>
      </c>
      <c r="N2" s="4" t="s">
        <v>11</v>
      </c>
      <c r="O2" s="4" t="s">
        <v>12</v>
      </c>
      <c r="P2" s="4" t="s">
        <v>13</v>
      </c>
      <c r="Q2" s="4" t="s">
        <v>14</v>
      </c>
      <c r="R2" s="4" t="s">
        <v>15</v>
      </c>
      <c r="S2" s="5" t="s">
        <v>16</v>
      </c>
      <c r="T2" s="5" t="s">
        <v>17</v>
      </c>
      <c r="U2" s="5" t="s">
        <v>18</v>
      </c>
      <c r="V2" s="5" t="s">
        <v>19</v>
      </c>
      <c r="W2" s="5" t="s">
        <v>20</v>
      </c>
      <c r="X2" s="5" t="s">
        <v>21</v>
      </c>
      <c r="Y2" s="4" t="s">
        <v>22</v>
      </c>
      <c r="Z2" s="4" t="s">
        <v>23</v>
      </c>
      <c r="AA2" s="4" t="s">
        <v>24</v>
      </c>
      <c r="AB2" s="4" t="s">
        <v>25</v>
      </c>
      <c r="AC2" s="4" t="s">
        <v>26</v>
      </c>
      <c r="AD2" s="4" t="s">
        <v>27</v>
      </c>
      <c r="AE2" s="18" t="s">
        <v>72</v>
      </c>
      <c r="AF2" s="4" t="s">
        <v>77</v>
      </c>
      <c r="AG2" s="12" t="s">
        <v>28</v>
      </c>
      <c r="AH2" s="3" t="s">
        <v>74</v>
      </c>
    </row>
    <row r="3" spans="1:34" s="3" customFormat="1" ht="12.75" x14ac:dyDescent="0.2">
      <c r="A3" s="6"/>
      <c r="B3" s="7"/>
      <c r="C3" s="8"/>
      <c r="D3" s="8"/>
      <c r="E3" s="8"/>
      <c r="F3" s="9"/>
      <c r="G3" s="8"/>
      <c r="H3" s="8"/>
      <c r="I3" s="8"/>
      <c r="J3" s="8"/>
      <c r="K3" s="8"/>
      <c r="L3" s="9"/>
      <c r="M3" s="9"/>
      <c r="N3" s="8"/>
      <c r="O3" s="8"/>
      <c r="P3" s="8"/>
      <c r="Q3" s="19"/>
      <c r="R3" s="8"/>
      <c r="S3" s="10"/>
      <c r="T3" s="10"/>
      <c r="U3" s="10"/>
      <c r="V3" s="10"/>
      <c r="W3" s="10"/>
      <c r="X3" s="10"/>
      <c r="Y3" s="8"/>
      <c r="Z3" s="8"/>
      <c r="AA3" s="9"/>
      <c r="AB3" s="8"/>
      <c r="AC3" s="9"/>
      <c r="AD3" s="8"/>
      <c r="AE3" s="8"/>
      <c r="AF3" s="8"/>
      <c r="AG3" s="8"/>
    </row>
    <row r="4" spans="1:34" s="14" customFormat="1" ht="108" x14ac:dyDescent="0.2">
      <c r="A4" s="13"/>
      <c r="B4" s="7">
        <f>3+1</f>
        <v>4</v>
      </c>
      <c r="C4" s="8" t="s">
        <v>83</v>
      </c>
      <c r="D4" s="8" t="s">
        <v>52</v>
      </c>
      <c r="E4" s="8" t="s">
        <v>57</v>
      </c>
      <c r="F4" s="9" t="s">
        <v>58</v>
      </c>
      <c r="G4" s="8" t="s">
        <v>31</v>
      </c>
      <c r="H4" s="8" t="s">
        <v>59</v>
      </c>
      <c r="I4" s="8" t="s">
        <v>60</v>
      </c>
      <c r="J4" s="8" t="s">
        <v>61</v>
      </c>
      <c r="K4" s="8" t="s">
        <v>68</v>
      </c>
      <c r="L4" s="9" t="s">
        <v>69</v>
      </c>
      <c r="M4" s="9" t="s">
        <v>70</v>
      </c>
      <c r="N4" s="8" t="s">
        <v>32</v>
      </c>
      <c r="O4" s="8" t="s">
        <v>62</v>
      </c>
      <c r="P4" s="8" t="s">
        <v>63</v>
      </c>
      <c r="Q4" s="19" t="s">
        <v>80</v>
      </c>
      <c r="R4" s="8" t="s">
        <v>64</v>
      </c>
      <c r="S4" s="10"/>
      <c r="T4" s="10"/>
      <c r="U4" s="10"/>
      <c r="V4" s="10"/>
      <c r="W4" s="10"/>
      <c r="X4" s="10"/>
      <c r="Y4" s="8" t="s">
        <v>65</v>
      </c>
      <c r="Z4" s="8" t="s">
        <v>55</v>
      </c>
      <c r="AA4" s="9" t="s">
        <v>53</v>
      </c>
      <c r="AB4" s="8" t="s">
        <v>54</v>
      </c>
      <c r="AC4" s="9" t="s">
        <v>56</v>
      </c>
      <c r="AD4" s="8" t="s">
        <v>79</v>
      </c>
      <c r="AE4" s="8" t="s">
        <v>73</v>
      </c>
      <c r="AF4" s="8" t="s">
        <v>79</v>
      </c>
      <c r="AG4" s="8" t="s">
        <v>29</v>
      </c>
      <c r="AH4" s="3" t="s">
        <v>76</v>
      </c>
    </row>
    <row r="5" spans="1:34" s="3" customFormat="1" x14ac:dyDescent="0.2">
      <c r="A5" s="6"/>
      <c r="B5" s="8">
        <f t="shared" ref="B4:B8" si="0">B4+1</f>
        <v>5</v>
      </c>
      <c r="C5" s="8"/>
      <c r="D5" s="8"/>
      <c r="E5" s="8"/>
      <c r="F5" s="8"/>
      <c r="G5" s="8"/>
      <c r="H5" s="8"/>
      <c r="I5" s="8"/>
      <c r="J5" s="8"/>
      <c r="K5" s="8"/>
      <c r="L5" s="8"/>
      <c r="M5" s="8"/>
      <c r="N5" s="8"/>
      <c r="O5" s="8"/>
      <c r="P5" s="8"/>
      <c r="Q5" s="8"/>
      <c r="R5" s="8"/>
      <c r="S5" s="10"/>
      <c r="T5" s="10"/>
      <c r="U5" s="10"/>
      <c r="V5" s="10"/>
      <c r="W5" s="10"/>
      <c r="X5" s="10"/>
      <c r="Y5" s="8"/>
      <c r="Z5" s="8"/>
      <c r="AA5" s="9"/>
      <c r="AB5" s="8"/>
      <c r="AC5" s="8"/>
      <c r="AD5" s="8"/>
      <c r="AE5" s="8"/>
      <c r="AF5" s="8"/>
      <c r="AG5" s="8"/>
    </row>
    <row r="6" spans="1:34" s="16" customFormat="1" x14ac:dyDescent="0.2">
      <c r="A6" s="17"/>
      <c r="B6" s="9">
        <f t="shared" si="0"/>
        <v>6</v>
      </c>
      <c r="C6" s="9"/>
      <c r="D6" s="9"/>
      <c r="E6" s="9"/>
      <c r="F6" s="9"/>
      <c r="G6" s="9"/>
      <c r="H6" s="9"/>
      <c r="I6" s="9"/>
      <c r="J6" s="9"/>
      <c r="K6" s="9"/>
      <c r="L6" s="9"/>
      <c r="M6" s="9"/>
      <c r="N6" s="9"/>
      <c r="O6" s="9"/>
      <c r="P6" s="9"/>
      <c r="Q6" s="9"/>
      <c r="R6" s="9"/>
      <c r="S6" s="10"/>
      <c r="T6" s="10"/>
      <c r="U6" s="10"/>
      <c r="V6" s="10"/>
      <c r="W6" s="10"/>
      <c r="X6" s="10"/>
      <c r="Y6" s="9"/>
      <c r="Z6" s="9"/>
      <c r="AA6" s="9"/>
      <c r="AB6" s="9"/>
      <c r="AC6" s="9"/>
      <c r="AD6" s="8"/>
      <c r="AE6" s="9"/>
      <c r="AF6" s="8"/>
      <c r="AG6" s="9"/>
      <c r="AH6" s="3"/>
    </row>
    <row r="7" spans="1:34" s="3" customFormat="1" x14ac:dyDescent="0.2">
      <c r="A7" s="6"/>
      <c r="B7" s="7">
        <f t="shared" si="0"/>
        <v>7</v>
      </c>
      <c r="C7" s="8"/>
      <c r="D7" s="8"/>
      <c r="E7" s="8"/>
      <c r="F7" s="8"/>
      <c r="G7" s="8"/>
      <c r="H7" s="8"/>
      <c r="I7" s="8"/>
      <c r="J7" s="9"/>
      <c r="K7" s="9"/>
      <c r="L7" s="8"/>
      <c r="M7" s="8"/>
      <c r="N7" s="8"/>
      <c r="O7" s="8"/>
      <c r="P7" s="8"/>
      <c r="Q7" s="8"/>
      <c r="R7" s="8"/>
      <c r="S7" s="10"/>
      <c r="T7" s="10"/>
      <c r="U7" s="10"/>
      <c r="V7" s="10"/>
      <c r="W7" s="10"/>
      <c r="X7" s="10"/>
      <c r="Y7" s="8"/>
      <c r="Z7" s="8"/>
      <c r="AA7" s="9"/>
      <c r="AB7" s="8"/>
      <c r="AC7" s="8"/>
      <c r="AD7" s="8"/>
      <c r="AE7" s="9"/>
      <c r="AF7" s="8"/>
      <c r="AG7" s="8"/>
    </row>
    <row r="8" spans="1:34" s="3" customFormat="1" x14ac:dyDescent="0.2">
      <c r="A8" s="6"/>
      <c r="B8" s="7">
        <f t="shared" si="0"/>
        <v>8</v>
      </c>
      <c r="C8" s="8"/>
      <c r="D8" s="8"/>
      <c r="E8" s="8"/>
      <c r="F8" s="8"/>
      <c r="G8" s="8"/>
      <c r="H8" s="8"/>
      <c r="I8" s="8"/>
      <c r="J8" s="9"/>
      <c r="K8" s="9"/>
      <c r="L8" s="8"/>
      <c r="M8" s="8"/>
      <c r="N8" s="8"/>
      <c r="O8" s="8"/>
      <c r="P8" s="8"/>
      <c r="Q8" s="8"/>
      <c r="R8" s="8"/>
      <c r="S8" s="10"/>
      <c r="T8" s="10"/>
      <c r="U8" s="10"/>
      <c r="V8" s="10"/>
      <c r="W8" s="10"/>
      <c r="X8" s="10"/>
      <c r="Y8" s="8"/>
      <c r="Z8" s="8"/>
      <c r="AA8" s="9"/>
      <c r="AB8" s="8"/>
      <c r="AC8" s="8"/>
      <c r="AD8" s="8"/>
      <c r="AE8" s="9"/>
      <c r="AF8" s="8"/>
      <c r="AG8" s="8"/>
    </row>
    <row r="9" spans="1:34" x14ac:dyDescent="0.2">
      <c r="L9" s="1" t="s">
        <v>71</v>
      </c>
    </row>
  </sheetData>
  <hyperlinks>
    <hyperlink ref="Q4" r:id="rId1" xr:uid="{C2C9D917-AA6F-4DC4-8D1A-9D1ED78AC6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O2C - Part A</vt:lpstr>
      <vt:lpstr>Report O2C - Part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SNT DDS</cp:lastModifiedBy>
  <cp:revision>1</cp:revision>
  <dcterms:created xsi:type="dcterms:W3CDTF">2025-01-06T08:41:47Z</dcterms:created>
  <dcterms:modified xsi:type="dcterms:W3CDTF">2026-01-19T12:25:11Z</dcterms:modified>
  <cp:category/>
</cp:coreProperties>
</file>