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Divyesh Parmar\Downloads\"/>
    </mc:Choice>
  </mc:AlternateContent>
  <xr:revisionPtr revIDLastSave="0" documentId="13_ncr:1_{DADD7CF1-F44D-48E2-B737-139CF443B5CD}" xr6:coauthVersionLast="47" xr6:coauthVersionMax="47" xr10:uidLastSave="{00000000-0000-0000-0000-000000000000}"/>
  <bookViews>
    <workbookView xWindow="28680" yWindow="-120" windowWidth="29040" windowHeight="15720" activeTab="1" xr2:uid="{00000000-000D-0000-FFFF-FFFF00000000}"/>
  </bookViews>
  <sheets>
    <sheet name="Report O2C - Part A" sheetId="3" r:id="rId1"/>
    <sheet name="Report O2C - Part B"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B4" i="4" s="1"/>
  <c r="B5" i="4" s="1"/>
  <c r="B6" i="4" s="1"/>
  <c r="B7" i="4" s="1"/>
  <c r="B8" i="4" s="1"/>
  <c r="B4" i="3"/>
  <c r="B5" i="3" s="1"/>
</calcChain>
</file>

<file path=xl/sharedStrings.xml><?xml version="1.0" encoding="utf-8"?>
<sst xmlns="http://schemas.openxmlformats.org/spreadsheetml/2006/main" count="296" uniqueCount="200">
  <si>
    <t>SN</t>
  </si>
  <si>
    <t>Description of Control</t>
  </si>
  <si>
    <t>Process</t>
  </si>
  <si>
    <t>Sub-process</t>
  </si>
  <si>
    <t>Risk Description / What Could Go Wrong (Misstatement, Misrepresentation, etc.)</t>
  </si>
  <si>
    <t>Whether fraud risks exist</t>
  </si>
  <si>
    <t>Control Objective</t>
  </si>
  <si>
    <t>Control to address "What could go wrong"</t>
  </si>
  <si>
    <t>Whether Management Review Control (MRC) or not</t>
  </si>
  <si>
    <t>Gap Description &amp; Resolution</t>
  </si>
  <si>
    <t>Relevant Data Elements of IPE</t>
  </si>
  <si>
    <t>Type of Control  (Preventive, detective)</t>
  </si>
  <si>
    <t>Nature of Control (Manual or Automated)</t>
  </si>
  <si>
    <t>Type of Risk Mitigation method exercised (Insurance, hedging, sign offs, approvals)</t>
  </si>
  <si>
    <t>Process owner</t>
  </si>
  <si>
    <t>Reviewer/ Process Supervisor</t>
  </si>
  <si>
    <t>Completeness</t>
  </si>
  <si>
    <t>Existence &amp; Occurrence</t>
  </si>
  <si>
    <t>Ownership of Rights and Obligations</t>
  </si>
  <si>
    <t>Valuation</t>
  </si>
  <si>
    <t>Presentation</t>
  </si>
  <si>
    <t>Accuracy</t>
  </si>
  <si>
    <t>Control frequency (Recurring, weekly, monthly)</t>
  </si>
  <si>
    <t>Basis of sampling</t>
  </si>
  <si>
    <t>Documents to be reviewed as a part of DMS audit</t>
  </si>
  <si>
    <t>Type of risk associated with the process flow</t>
  </si>
  <si>
    <t>Financial Reporting - Head in BS &amp; PL</t>
  </si>
  <si>
    <t>Checks performed</t>
  </si>
  <si>
    <t>Findings</t>
  </si>
  <si>
    <t>Preventive &amp; Detective</t>
  </si>
  <si>
    <t>-</t>
  </si>
  <si>
    <t>Yes</t>
  </si>
  <si>
    <t>Preventive</t>
  </si>
  <si>
    <t>Non-financial</t>
  </si>
  <si>
    <t>Recurring</t>
  </si>
  <si>
    <t>No</t>
  </si>
  <si>
    <t>Manual &amp; Automated</t>
  </si>
  <si>
    <t>Preventive, Detective &amp; Corrective</t>
  </si>
  <si>
    <t>Systematic random sampling</t>
  </si>
  <si>
    <t>Report on Internal Control (Financial &amp; Non-financial)</t>
  </si>
  <si>
    <t>Information Produced by the Entity (IPE) implemented in the operation of the Control - Source data/ Report logic/ Report parameters</t>
  </si>
  <si>
    <t>DONE</t>
  </si>
  <si>
    <t>Customer acquisition &amp; credibility check (credit risk analysis)</t>
  </si>
  <si>
    <r>
      <t xml:space="preserve">Customer </t>
    </r>
    <r>
      <rPr>
        <sz val="9"/>
        <color rgb="FFFF0000"/>
        <rFont val="Calibri"/>
        <family val="2"/>
        <scheme val="minor"/>
      </rPr>
      <t>Acquisition</t>
    </r>
  </si>
  <si>
    <t>Marketing</t>
  </si>
  <si>
    <t>There could be instances where, Pre-sale credit risk analysis of the customer is not performed or customer persuasion could result in higher costs than the profitability of the customer</t>
  </si>
  <si>
    <t>Yes, third party fraud risk, most likely (due to higher credit risks)</t>
  </si>
  <si>
    <t>To make sure that the process flow is smooth and error free in its induction level. The cost of customer procurement must not exceed the benefit/ profitability from that customer</t>
  </si>
  <si>
    <t>Currently there are no gaps in this process flow, as it is ensured since the inception phase, that the customer is credible &amp; no credit risk exists. Further insurance &amp; credit limits are set, which limits the financial risk due to non payments by the customers.</t>
  </si>
  <si>
    <r>
      <rPr>
        <b/>
        <sz val="9"/>
        <color theme="1"/>
        <rFont val="Calibri"/>
        <family val="2"/>
        <scheme val="minor"/>
      </rPr>
      <t xml:space="preserve">Report parameters
</t>
    </r>
    <r>
      <rPr>
        <sz val="9"/>
        <color theme="1"/>
        <rFont val="Calibri"/>
        <family val="2"/>
        <scheme val="minor"/>
      </rPr>
      <t>SAP - Report on Insurance &amp; Credit limits of all the debtors</t>
    </r>
  </si>
  <si>
    <t>Credit limit report &amp; debtors' ledgers, where needed</t>
  </si>
  <si>
    <t>Manual &amp; Automated checks (Z reports)</t>
  </si>
  <si>
    <t>Insurance, review &amp; approvals</t>
  </si>
  <si>
    <t>Marketing team</t>
  </si>
  <si>
    <t>As per authorization matrix</t>
  </si>
  <si>
    <t>As &amp; when needed</t>
  </si>
  <si>
    <t>NA</t>
  </si>
  <si>
    <t>Operational, Legal, Business &amp; Managerial Risk</t>
  </si>
  <si>
    <t>Non-financial process</t>
  </si>
  <si>
    <t>Periodic review of credit &amp; insurance limits set by the appropriate authorities</t>
  </si>
  <si>
    <t>Revenue to Receivables</t>
  </si>
  <si>
    <t>Credit &amp; Insurance limits</t>
  </si>
  <si>
    <t>Credit limit is fixed by sales &amp; marketing dept, as per the terms of SO, &amp; discussion between the customer &amp; Rubamin. This limit is reviewed on monthly basis &amp; in certain cases on transaction basis. Usually insurance limit is set on the basis of credit limit, which is usually the same. Default limit is set as INR 30 lacs. If this limit is not appropriate, it can be enhanced or reduced by the sales dept. on customer to customer basis, after proper approval.</t>
  </si>
  <si>
    <r>
      <rPr>
        <b/>
        <sz val="9"/>
        <color theme="1"/>
        <rFont val="Calibri"/>
        <family val="2"/>
        <scheme val="minor"/>
      </rPr>
      <t>Report Logic</t>
    </r>
    <r>
      <rPr>
        <sz val="9"/>
        <color theme="1"/>
        <rFont val="Calibri"/>
        <family val="2"/>
        <scheme val="minor"/>
      </rPr>
      <t xml:space="preserve">
</t>
    </r>
    <r>
      <rPr>
        <b/>
        <sz val="9"/>
        <color theme="1"/>
        <rFont val="Calibri"/>
        <family val="2"/>
        <scheme val="minor"/>
      </rPr>
      <t>SAP</t>
    </r>
    <r>
      <rPr>
        <sz val="9"/>
        <color theme="1"/>
        <rFont val="Calibri"/>
        <family val="2"/>
        <scheme val="minor"/>
      </rPr>
      <t xml:space="preserve"> - Customer masters, with updated credit &amp; insurance limits
</t>
    </r>
    <r>
      <rPr>
        <b/>
        <sz val="9"/>
        <color theme="1"/>
        <rFont val="Calibri"/>
        <family val="2"/>
        <scheme val="minor"/>
      </rPr>
      <t>Manual</t>
    </r>
    <r>
      <rPr>
        <sz val="9"/>
        <color theme="1"/>
        <rFont val="Calibri"/>
        <family val="2"/>
        <scheme val="minor"/>
      </rPr>
      <t xml:space="preserve"> - Advice with updated limits</t>
    </r>
  </si>
  <si>
    <t>Updated credit limits &amp; insurance limits - customer wise, along with the limits updated in the customer master</t>
  </si>
  <si>
    <t>Preventive &amp; Corrective</t>
  </si>
  <si>
    <t>Review &amp; Approvals</t>
  </si>
  <si>
    <t>IT Dept. &amp; Insurance handling Dept. for data dependency</t>
  </si>
  <si>
    <t>HOD of respective dept.</t>
  </si>
  <si>
    <t>Yearly (Domestic April, Export  in Jun/Jul)</t>
  </si>
  <si>
    <t>All Revised limits during the year. Enhancements or Blocks requested</t>
  </si>
  <si>
    <t>Financial Risk (Bad Debts), Operational risks, legal risks</t>
  </si>
  <si>
    <t>Comparison of reports, received from IT dept. with cusomter masters</t>
  </si>
  <si>
    <t>Product Pricing as per approved cost sheet</t>
  </si>
  <si>
    <t>Pricing Strategy</t>
  </si>
  <si>
    <t>Short pricing of finished goods, or price charged, is not sufficient to cover cost &amp; margin recovery. This could lead to lower contributions, and lower bottom line figures</t>
  </si>
  <si>
    <t>Product pricing should be in accordance with Pricing strategies, as decided by the management (LME, or other basis), to ensure that cost &amp; internal margins are recovered. Customers must be charged in reference to the contract terms &amp; conditions</t>
  </si>
  <si>
    <t>Contracts for sale between Rubamin &amp; customers are made &amp; executed for Zinc division only. No Contracts are executed in case of sales in Moly division. Any change in price subject to negotiation should be analysed. However, if necessary, such actions should be backed by approval from HOD</t>
  </si>
  <si>
    <t>Currently the process of contract generation is done through SAP. This contract is further linked to the SO. Contract tracking &amp; execution is done through system as well as manually, through spreadsheets. Full automation of this process is complex and would still require manual intervention from time to time, leaading to redundancy.</t>
  </si>
  <si>
    <r>
      <rPr>
        <b/>
        <sz val="9"/>
        <color theme="1"/>
        <rFont val="Calibri"/>
        <family val="2"/>
        <scheme val="minor"/>
      </rPr>
      <t>Source Data</t>
    </r>
    <r>
      <rPr>
        <sz val="9"/>
        <color theme="1"/>
        <rFont val="Calibri"/>
        <family val="2"/>
        <scheme val="minor"/>
      </rPr>
      <t xml:space="preserve">
</t>
    </r>
    <r>
      <rPr>
        <b/>
        <sz val="9"/>
        <color theme="1"/>
        <rFont val="Calibri"/>
        <family val="2"/>
        <scheme val="minor"/>
      </rPr>
      <t>SAP</t>
    </r>
    <r>
      <rPr>
        <sz val="9"/>
        <color theme="1"/>
        <rFont val="Calibri"/>
        <family val="2"/>
        <scheme val="minor"/>
      </rPr>
      <t xml:space="preserve"> - SO, Invoice, PO (customer generated) </t>
    </r>
    <r>
      <rPr>
        <b/>
        <sz val="9"/>
        <color theme="1"/>
        <rFont val="Calibri"/>
        <family val="2"/>
        <scheme val="minor"/>
      </rPr>
      <t>Manual</t>
    </r>
    <r>
      <rPr>
        <sz val="9"/>
        <color theme="1"/>
        <rFont val="Calibri"/>
        <family val="2"/>
        <scheme val="minor"/>
      </rPr>
      <t xml:space="preserve"> - Correspondences for negotiation &amp; finalization of terms &amp; conditions, Contract for sale of goods between Rubamin &amp; customer</t>
    </r>
  </si>
  <si>
    <t>Quality, quantity &amp; rate of goods sold, along with other terms &amp; conditions like payment, variable pricing, picking &amp; delivery</t>
  </si>
  <si>
    <t>Manual &amp; Automated checks (Z develpoments)</t>
  </si>
  <si>
    <t>Hedging, sign-offs, approvals</t>
  </si>
  <si>
    <t>Sales &amp; Marketing Dept.</t>
  </si>
  <si>
    <t>As per SOP (IT &amp; Taxation Dept.)</t>
  </si>
  <si>
    <t>Systematic random sampling for detail check</t>
  </si>
  <si>
    <t>Data Integrity risk</t>
  </si>
  <si>
    <t>Revenue from Operations</t>
  </si>
  <si>
    <r>
      <t xml:space="preserve">Domestic - NA
</t>
    </r>
    <r>
      <rPr>
        <sz val="9"/>
        <color rgb="FFC00000"/>
        <rFont val="Calibri"/>
        <family val="2"/>
        <scheme val="minor"/>
      </rPr>
      <t>Exports - NA</t>
    </r>
  </si>
  <si>
    <t>Business, Financial &amp; Operational Risk (Data Integrity)</t>
  </si>
  <si>
    <t>Systematic random sampling for detail check - Refer sample data file</t>
  </si>
  <si>
    <t>Non-financial (Revenue from Operations &amp; Other Income)</t>
  </si>
  <si>
    <t>Sales Order Confirmation &amp; Closing</t>
  </si>
  <si>
    <t>Sales Order Confirmation</t>
  </si>
  <si>
    <t>Invoice generated could be for a lower quantity, different quality or different price, as compared to that locked in the Sales Order. Changes in SO terms (modification)</t>
  </si>
  <si>
    <t>To make sure that the sales order quantity and invoice quantity match. In case of any differences, the same should be justified, at the time of SO confirmation &amp; closing (specifically for short closed SO)</t>
  </si>
  <si>
    <t>The system should restrict the  generation of Sales invoice for a quantity exceeding the SO qty, unless approved by HOD. For quantities short closed during the period, the user must select the reason, for short close. HOD approval or intimation wherever necessary should be ensured.</t>
  </si>
  <si>
    <t>Not feasible, due to volume</t>
  </si>
  <si>
    <t>Automated with Manual checks (review)</t>
  </si>
  <si>
    <t>Approval &amp; Review</t>
  </si>
  <si>
    <t>Sales &amp; IT Dept.</t>
  </si>
  <si>
    <t>IT Dept.</t>
  </si>
  <si>
    <t>Recurring &amp; periodic</t>
  </si>
  <si>
    <t>Dispatch logging</t>
  </si>
  <si>
    <t>Outbound logistics</t>
  </si>
  <si>
    <t>Incorrect quantity or non-contractual quality could be dispatched; dispatch to wrong consignee, could lead to additional freight &amp; time costs &amp; reputational/ legal risks</t>
  </si>
  <si>
    <t>Correct quality &amp; quantity of material must be dispatched to the correct consignee.</t>
  </si>
  <si>
    <t>Inspection of dispatching lot before loading will ensure proper delivery. External confirmation/ intimation to the consignee, in case of large quantities, before actual dispatch. Daily dispatch report generated for review. Stringent quality control</t>
  </si>
  <si>
    <t>Not feasible, due to bulk loading &amp; logistics</t>
  </si>
  <si>
    <t>Dispatch entries/ goods movement, log sheet, weighment slip</t>
  </si>
  <si>
    <t>Signoffs &amp; Approval</t>
  </si>
  <si>
    <t>Sales dept, Logistics team (at plant)</t>
  </si>
  <si>
    <t>Sales dept.</t>
  </si>
  <si>
    <t>Revenue recognition - in case of domestic sales</t>
  </si>
  <si>
    <t>Revenue recognition</t>
  </si>
  <si>
    <t>Incorrect revenue recognized &amp; accounted for; Revenue recognized earlier than the stipulated time line as per IND AS (overstated, as on date)</t>
  </si>
  <si>
    <t>Proper recognition of revenue - Consider advance received from customer, point of sale, contract finalization</t>
  </si>
  <si>
    <t>Revenue must be recognized on the basis of IND AS; Review of large scale transactions to ensure no significant errors exist in the statement of PL. Invoice &amp; logistics information must be simultaneously analysed to ensure true representation. When the receipt is doubtful, provision to be made accordingly</t>
  </si>
  <si>
    <t>Not feasible, for lower scale transactions</t>
  </si>
  <si>
    <r>
      <rPr>
        <b/>
        <sz val="9"/>
        <color theme="1"/>
        <rFont val="Calibri"/>
        <family val="2"/>
        <scheme val="minor"/>
      </rPr>
      <t>Report Logic</t>
    </r>
    <r>
      <rPr>
        <sz val="9"/>
        <color theme="1"/>
        <rFont val="Calibri"/>
        <family val="2"/>
        <scheme val="minor"/>
      </rPr>
      <t xml:space="preserve">
</t>
    </r>
    <r>
      <rPr>
        <b/>
        <sz val="9"/>
        <color theme="1"/>
        <rFont val="Calibri"/>
        <family val="2"/>
        <scheme val="minor"/>
      </rPr>
      <t>SAP</t>
    </r>
    <r>
      <rPr>
        <sz val="9"/>
        <color theme="1"/>
        <rFont val="Calibri"/>
        <family val="2"/>
        <scheme val="minor"/>
      </rPr>
      <t xml:space="preserve"> - Invoice, SO and settlement calculations (if any)
</t>
    </r>
    <r>
      <rPr>
        <b/>
        <sz val="9"/>
        <color theme="1"/>
        <rFont val="Calibri"/>
        <family val="2"/>
        <scheme val="minor"/>
      </rPr>
      <t>Manual</t>
    </r>
    <r>
      <rPr>
        <sz val="9"/>
        <color theme="1"/>
        <rFont val="Calibri"/>
        <family val="2"/>
        <scheme val="minor"/>
      </rPr>
      <t xml:space="preserve"> - Receipts &amp; Logistics information</t>
    </r>
  </si>
  <si>
    <t>Invoice, Delivery challan &amp; estimated time of delivery</t>
  </si>
  <si>
    <r>
      <t xml:space="preserve">Manual &amp; </t>
    </r>
    <r>
      <rPr>
        <sz val="9"/>
        <color rgb="FFFF0000"/>
        <rFont val="Calibri"/>
        <family val="2"/>
        <scheme val="minor"/>
      </rPr>
      <t>Automated checks</t>
    </r>
    <r>
      <rPr>
        <sz val="9"/>
        <color theme="1"/>
        <rFont val="Calibri"/>
        <family val="2"/>
        <scheme val="minor"/>
      </rPr>
      <t xml:space="preserve"> (Z develpoments)</t>
    </r>
  </si>
  <si>
    <t>Entries made by authorized personnel only, and reviewed by HOD</t>
  </si>
  <si>
    <t>Sales &amp; Account dept.</t>
  </si>
  <si>
    <t>Accounts/ finance dept</t>
  </si>
  <si>
    <t>Financial Risk (Misstatement of financial statements)</t>
  </si>
  <si>
    <t>Revenue from Operations (domestic) &amp; Trade receivables</t>
  </si>
  <si>
    <t>Revenue recognition - in case of export sales</t>
  </si>
  <si>
    <t>Incorrect revenue recognized &amp; accounted for; Revenue not recognized as per the Incoterms</t>
  </si>
  <si>
    <t>Cross-linking SO, Sales contract &amp; Export documentations</t>
  </si>
  <si>
    <t>Invoice, Shipping bill, BL, INCOTERMS &amp; estimated time of delivery</t>
  </si>
  <si>
    <t>Sales &amp; Account dept. (forex)</t>
  </si>
  <si>
    <t>Accounts/ finance dept (forex)</t>
  </si>
  <si>
    <t>Revenue from Operations (export) &amp; Trade receivables</t>
  </si>
  <si>
    <t>Revenue collection</t>
  </si>
  <si>
    <t>Collections</t>
  </si>
  <si>
    <t>Revenue receipt from a customer, might be recorded against wrong outstanding, or could be missed out from being recorded in the books</t>
  </si>
  <si>
    <t>Ensure that revenue collected is correctly recorded &amp; knocked off against the right outstanding balance</t>
  </si>
  <si>
    <t>Debtors &amp; Bank reconciliation, to match the receipts, with the corresponding customer accounts. External confirmation wherever needed must be conducted &amp; recorded, for unreconciled balances</t>
  </si>
  <si>
    <r>
      <rPr>
        <b/>
        <sz val="9"/>
        <color theme="1"/>
        <rFont val="Calibri"/>
        <family val="2"/>
        <scheme val="minor"/>
      </rPr>
      <t>Report parameters
SAP</t>
    </r>
    <r>
      <rPr>
        <sz val="9"/>
        <color theme="1"/>
        <rFont val="Calibri"/>
        <family val="2"/>
        <scheme val="minor"/>
      </rPr>
      <t xml:space="preserve"> - Debtors' ledger
</t>
    </r>
    <r>
      <rPr>
        <b/>
        <sz val="9"/>
        <color theme="1"/>
        <rFont val="Calibri"/>
        <family val="2"/>
        <scheme val="minor"/>
      </rPr>
      <t>Manual</t>
    </r>
    <r>
      <rPr>
        <sz val="9"/>
        <color theme="1"/>
        <rFont val="Calibri"/>
        <family val="2"/>
        <scheme val="minor"/>
      </rPr>
      <t xml:space="preserve"> - Email correspondences &amp; bank statements</t>
    </r>
  </si>
  <si>
    <t>E-mails from marketing team to the finance dept, Bank statements</t>
  </si>
  <si>
    <t>Entries made by authorized personnel, only after confirmation from the marketing dept.</t>
  </si>
  <si>
    <t>Sales &amp; accounts dept.</t>
  </si>
  <si>
    <t>Accounts/ Finance dept</t>
  </si>
  <si>
    <t>Operational Risk (Data Input, Data Integrity &amp; Data manipulation risk)
Financial Risk (Misstatement of F/S)</t>
  </si>
  <si>
    <t>Trade Receivables &amp; Advances, Bank</t>
  </si>
  <si>
    <t>Debtors' ageing analysis &amp; provision for bad &amp; doubtful debts</t>
  </si>
  <si>
    <t>Ageing &amp; Provisions</t>
  </si>
  <si>
    <t>If revenue is not collected within the collection period, it will lead to liquidity risk &amp; loss of interest on blocked funds, this disrupts the working capital cycle as well</t>
  </si>
  <si>
    <t>Yes, third party fraud risk</t>
  </si>
  <si>
    <t>Customer dues must be cleared before they become overdue, to ensure higher liquidity. Provisions for bad &amp; doubtful debts must be made as per the policy</t>
  </si>
  <si>
    <t>In case of consistent delays in the receipts, appropriate action must be taken by the sales dept. (follow-ups and black-listing the customer ID), In case the amount is irrecoverable an appropriate provision must be made against bad &amp; doubtful debts, as per Company policy</t>
  </si>
  <si>
    <t>CURRENT SCENARIO - BLOCKING CUSTOMER ID</t>
  </si>
  <si>
    <r>
      <rPr>
        <b/>
        <sz val="9"/>
        <color theme="1"/>
        <rFont val="Calibri"/>
        <family val="2"/>
        <scheme val="minor"/>
      </rPr>
      <t>Source Data</t>
    </r>
    <r>
      <rPr>
        <sz val="9"/>
        <color theme="1"/>
        <rFont val="Calibri"/>
        <family val="2"/>
        <scheme val="minor"/>
      </rPr>
      <t xml:space="preserve">
</t>
    </r>
    <r>
      <rPr>
        <b/>
        <sz val="9"/>
        <color theme="1"/>
        <rFont val="Calibri"/>
        <family val="2"/>
        <scheme val="minor"/>
      </rPr>
      <t>SAP</t>
    </r>
    <r>
      <rPr>
        <sz val="9"/>
        <color theme="1"/>
        <rFont val="Calibri"/>
        <family val="2"/>
        <scheme val="minor"/>
      </rPr>
      <t xml:space="preserve"> - Debtors' ageing report generated
</t>
    </r>
    <r>
      <rPr>
        <b/>
        <sz val="9"/>
        <color theme="1"/>
        <rFont val="Calibri"/>
        <family val="2"/>
        <scheme val="minor"/>
      </rPr>
      <t>Manual</t>
    </r>
    <r>
      <rPr>
        <sz val="9"/>
        <color theme="1"/>
        <rFont val="Calibri"/>
        <family val="2"/>
        <scheme val="minor"/>
      </rPr>
      <t xml:space="preserve"> - Action (follow up) taken by sales dept</t>
    </r>
  </si>
  <si>
    <t>Debtors' ageing analysis report, debtors' ledger, in case of overdue beyond 90 days</t>
  </si>
  <si>
    <t>Preventive &amp; corrective</t>
  </si>
  <si>
    <r>
      <t xml:space="preserve">Automated with </t>
    </r>
    <r>
      <rPr>
        <sz val="9"/>
        <color rgb="FFFF0000"/>
        <rFont val="Calibri"/>
        <family val="2"/>
        <scheme val="minor"/>
      </rPr>
      <t>Manual checks</t>
    </r>
    <r>
      <rPr>
        <sz val="9"/>
        <color theme="1"/>
        <rFont val="Calibri"/>
        <family val="2"/>
        <scheme val="minor"/>
      </rPr>
      <t xml:space="preserve"> (review)</t>
    </r>
  </si>
  <si>
    <t>Follow-ups</t>
  </si>
  <si>
    <t>Accounts/ Ffinance dept</t>
  </si>
  <si>
    <t>Periodic</t>
  </si>
  <si>
    <t>&gt; 50% - Through Debtors' ageing report &amp; provision for bad debts account</t>
  </si>
  <si>
    <t>Trade Receivables after adjusting Provisions for bad debts</t>
  </si>
  <si>
    <t>The marketing team ensures the credibility &amp; credit risk check of the customer at their level. New customers are usually taken on advance payments. All credit balances are insured against credit risks. Total outstanding balances against each customer is set before entering into transactions &amp; it is further ascertained that appropriate authorizations are obtained before booking any invoices against the customer, whose credit limit is exhausted</t>
  </si>
  <si>
    <t>Multi level review by business heads &amp; HOD, in case of first time customers</t>
  </si>
  <si>
    <t>In case the credit &amp; insurance limits are not reviewed periodically, there could arise, credit risks, w.r.t. certain debtors. Defaulting debtors must be blocked by limiting credit allowed as zero, or blocked altogether. Insurance limits ensure execution of insurance contracts are hassle-free</t>
  </si>
  <si>
    <t>Credit limit for each customer is checked automatically, during the creation of SO. In cae the limit is already exhausted, the customer is asked to clear the dues first. If deemed fit by the Sales Dept. (HOD), the limit is further increased to incorporate the new transaction</t>
  </si>
  <si>
    <t>Yes, as credit limits are are only increased after the approval of HOD (Sales)</t>
  </si>
  <si>
    <r>
      <t>Default credit limit of INR 30 lacs is set for all the customers, unless manually adjusted. This limit is adjusted as per the request. The credit limit for long associated customers, is booked after the advice from th</t>
    </r>
    <r>
      <rPr>
        <sz val="9"/>
        <rFont val="Calibri"/>
        <family val="2"/>
        <scheme val="minor"/>
      </rPr>
      <t>e Insurance handling team at RPL.
Once the limits are approved, they are updated to the customer master by the IT dept.</t>
    </r>
  </si>
  <si>
    <t>No significant gaps have been identified in this process. The previously reported error in SAP reports have been marked as inherent (SAP Standard report)</t>
  </si>
  <si>
    <r>
      <rPr>
        <b/>
        <sz val="9"/>
        <rFont val="Calibri"/>
        <family val="2"/>
        <scheme val="minor"/>
      </rPr>
      <t>Report parameters
SAP</t>
    </r>
    <r>
      <rPr>
        <sz val="9"/>
        <rFont val="Calibri"/>
        <family val="2"/>
        <scheme val="minor"/>
      </rPr>
      <t xml:space="preserve"> - Sales Order Confirmed &amp; Released
</t>
    </r>
    <r>
      <rPr>
        <b/>
        <sz val="9"/>
        <rFont val="Calibri"/>
        <family val="2"/>
        <scheme val="minor"/>
      </rPr>
      <t>Manual</t>
    </r>
    <r>
      <rPr>
        <sz val="9"/>
        <rFont val="Calibri"/>
        <family val="2"/>
        <scheme val="minor"/>
      </rPr>
      <t xml:space="preserve"> - Correspondence stating reason for short close/ amendment</t>
    </r>
  </si>
  <si>
    <t>SO v/s Outbound delivery v/s Invoices raised
Short closed qty or amendments in SO</t>
  </si>
  <si>
    <t>As such there are no visible gaps in this process, as the delivery schedules are properly made by the sales dept. &amp; carried out by the dispatch team, at plant. However, a slight gap in DMS upload is visible and could exert more control, even if compiled at the last stage of O2C cycle. Uploading docket slips, LR, E-way bills, customer tax invoice, could result in centralization of all sales docs for future reference</t>
  </si>
  <si>
    <t>Revenue is recognised on the basis of IND AS. Provision for bad debts are worked out and treated accordingly in the SOPL. Hence, there are no gaps in this process, as depicted by the samples selected</t>
  </si>
  <si>
    <t>Incoterms and export incentives, both play an important role in recognition of revenue for export sales. Each transaction must be reviewed before posting in the books. Country wise lead days are documented to ensure that the sales are not booked pre-maturely. An auto-triggered mail is sent on a daily basis, to the respective personnels to indicate the invoices to be booked as per lead day calculations</t>
  </si>
  <si>
    <t>As of now there aren't any gaps in the process. The invoice booking is done as per the principles of IND AS</t>
  </si>
  <si>
    <t>The concept of maker &amp; checker exists in this process, as entries are posted by the finance dept. &amp; verified by the sales dept (invoice to invoice)
Virtual Account has been activated for revenue collection. Increased control is through E-BRS &amp; E-Collection</t>
  </si>
  <si>
    <t>Domestic - NA
Exports - NA</t>
  </si>
  <si>
    <t>rodtep</t>
  </si>
  <si>
    <r>
      <rPr>
        <b/>
        <sz val="9"/>
        <rFont val="Calibri"/>
        <family val="2"/>
        <scheme val="minor"/>
      </rPr>
      <t>Source Data</t>
    </r>
    <r>
      <rPr>
        <sz val="9"/>
        <rFont val="Calibri"/>
        <family val="2"/>
        <scheme val="minor"/>
      </rPr>
      <t xml:space="preserve">
</t>
    </r>
    <r>
      <rPr>
        <b/>
        <sz val="9"/>
        <rFont val="Calibri"/>
        <family val="2"/>
        <scheme val="minor"/>
      </rPr>
      <t>SAP</t>
    </r>
    <r>
      <rPr>
        <sz val="9"/>
        <rFont val="Calibri"/>
        <family val="2"/>
        <scheme val="minor"/>
      </rPr>
      <t xml:space="preserve"> - Gate Out Entry report
</t>
    </r>
    <r>
      <rPr>
        <b/>
        <sz val="9"/>
        <rFont val="Calibri"/>
        <family val="2"/>
        <scheme val="minor"/>
      </rPr>
      <t>Manual</t>
    </r>
    <r>
      <rPr>
        <sz val="9"/>
        <rFont val="Calibri"/>
        <family val="2"/>
        <scheme val="minor"/>
      </rPr>
      <t xml:space="preserve"> - Daily despatch report &amp; outward register at Plants</t>
    </r>
  </si>
  <si>
    <t>Effective or Not Effective</t>
  </si>
  <si>
    <t>Effective</t>
  </si>
  <si>
    <r>
      <rPr>
        <b/>
        <sz val="9"/>
        <rFont val="Calibri"/>
        <family val="2"/>
        <scheme val="minor"/>
      </rPr>
      <t>Report Logic</t>
    </r>
    <r>
      <rPr>
        <sz val="9"/>
        <rFont val="Calibri"/>
        <family val="2"/>
        <scheme val="minor"/>
      </rPr>
      <t xml:space="preserve">
</t>
    </r>
    <r>
      <rPr>
        <b/>
        <sz val="9"/>
        <rFont val="Calibri"/>
        <family val="2"/>
        <scheme val="minor"/>
      </rPr>
      <t>SAP</t>
    </r>
    <r>
      <rPr>
        <sz val="9"/>
        <rFont val="Calibri"/>
        <family val="2"/>
        <scheme val="minor"/>
      </rPr>
      <t xml:space="preserve"> - Invoice, SO and settlement calculations (if any), DMS
</t>
    </r>
    <r>
      <rPr>
        <b/>
        <sz val="9"/>
        <rFont val="Calibri"/>
        <family val="2"/>
        <scheme val="minor"/>
      </rPr>
      <t>Manual</t>
    </r>
    <r>
      <rPr>
        <sz val="9"/>
        <rFont val="Calibri"/>
        <family val="2"/>
        <scheme val="minor"/>
      </rPr>
      <t xml:space="preserve"> - Receipts &amp; Logistics information</t>
    </r>
  </si>
  <si>
    <t>Folder</t>
  </si>
  <si>
    <t>C1</t>
  </si>
  <si>
    <t>C2</t>
  </si>
  <si>
    <t>C3</t>
  </si>
  <si>
    <t>C4</t>
  </si>
  <si>
    <t>C5</t>
  </si>
  <si>
    <t>C6</t>
  </si>
  <si>
    <t>C8</t>
  </si>
  <si>
    <t>C9</t>
  </si>
  <si>
    <t>DONE - Sample Count and Sample Type</t>
  </si>
  <si>
    <t>We have verfied the credit limits defined in the system with Customer ledgers and identified the instances where credit limit is exhausted and for such cases we have taken the approval data from the SAP.</t>
  </si>
  <si>
    <t>System process walkthrough is performed and checked that Invoice cannot be more than Sales Order.</t>
  </si>
  <si>
    <t>Dispatched data is verified and details are mentioned in the gate entry outward report in SAP. However no external confirmations are shared with the consignee but a mail to Marketing person is triggered.</t>
  </si>
  <si>
    <t>In Transit Domestic Sales Reversal Working and System Screenshot is verified for September 2024</t>
  </si>
  <si>
    <t xml:space="preserve">For Export, Sales is recognised post the lead days defined in the system for each country. </t>
  </si>
  <si>
    <t>Customer Ageing for September 2024 is verified with the Remarks of the Marketing representaives for delay receipts or Open Outstandings</t>
  </si>
  <si>
    <t>Ineffective</t>
  </si>
  <si>
    <t>Data not received from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</si>
</sst>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11"/>
      <color theme="1"/>
      <name val="Calibri"/>
      <family val="2"/>
      <scheme val="minor"/>
    </font>
    <font>
      <sz val="9"/>
      <color theme="1"/>
      <name val="Calibri"/>
      <family val="2"/>
      <scheme val="minor"/>
    </font>
    <font>
      <b/>
      <sz val="9"/>
      <color theme="1"/>
      <name val="Calibri"/>
      <family val="2"/>
      <scheme val="minor"/>
    </font>
    <font>
      <b/>
      <sz val="9"/>
      <name val="Calibri"/>
      <family val="2"/>
      <scheme val="minor"/>
    </font>
    <font>
      <sz val="9"/>
      <color rgb="FFFF0000"/>
      <name val="Calibri"/>
      <family val="2"/>
      <scheme val="minor"/>
    </font>
    <font>
      <sz val="9"/>
      <name val="Calibri"/>
      <family val="2"/>
      <scheme val="minor"/>
    </font>
    <font>
      <sz val="9"/>
      <color rgb="FFC00000"/>
      <name val="Calibri"/>
      <family val="2"/>
      <scheme val="minor"/>
    </font>
    <font>
      <b/>
      <sz val="9"/>
      <color rgb="FFFF0000"/>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9" tint="0.39997558519241921"/>
        <bgColor indexed="64"/>
      </patternFill>
    </fill>
    <fill>
      <patternFill patternType="solid">
        <fgColor rgb="FFFFFF99"/>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3">
    <xf numFmtId="0" fontId="0" fillId="0" borderId="0" xfId="0" applyAlignment="1">
      <alignment vertical="top"/>
    </xf>
    <xf numFmtId="0" fontId="2" fillId="0" borderId="0" xfId="1" applyFont="1" applyAlignment="1">
      <alignment horizontal="left"/>
    </xf>
    <xf numFmtId="0" fontId="3" fillId="0" borderId="0" xfId="1" applyFont="1" applyAlignment="1">
      <alignment horizontal="left"/>
    </xf>
    <xf numFmtId="0" fontId="2" fillId="0" borderId="0" xfId="1" applyFont="1" applyAlignment="1">
      <alignment horizontal="center" vertical="center" wrapText="1"/>
    </xf>
    <xf numFmtId="0" fontId="3" fillId="2" borderId="1" xfId="1" applyFont="1" applyFill="1" applyBorder="1" applyAlignment="1">
      <alignment horizontal="center" vertical="center" wrapText="1"/>
    </xf>
    <xf numFmtId="0" fontId="4" fillId="2" borderId="1" xfId="1" applyFont="1" applyFill="1" applyBorder="1" applyAlignment="1">
      <alignment horizontal="center" vertical="center" textRotation="90" wrapText="1"/>
    </xf>
    <xf numFmtId="0" fontId="3" fillId="0" borderId="0" xfId="1" applyFont="1" applyAlignment="1">
      <alignment vertical="center" textRotation="90" wrapText="1"/>
    </xf>
    <xf numFmtId="0" fontId="2" fillId="3" borderId="1" xfId="1" applyFont="1" applyFill="1" applyBorder="1" applyAlignment="1">
      <alignment horizontal="center" vertical="center" wrapText="1"/>
    </xf>
    <xf numFmtId="0" fontId="2" fillId="0" borderId="1" xfId="1" applyFont="1" applyBorder="1" applyAlignment="1">
      <alignment horizontal="center" vertical="center" wrapText="1"/>
    </xf>
    <xf numFmtId="0" fontId="6" fillId="0" borderId="1" xfId="1" applyFont="1" applyBorder="1" applyAlignment="1">
      <alignment horizontal="center" vertical="center" wrapText="1"/>
    </xf>
    <xf numFmtId="0" fontId="6" fillId="0" borderId="1" xfId="1" applyFont="1" applyBorder="1" applyAlignment="1">
      <alignment horizontal="center" vertical="center" textRotation="90" wrapText="1"/>
    </xf>
    <xf numFmtId="0" fontId="2" fillId="4" borderId="1" xfId="1" applyFont="1" applyFill="1" applyBorder="1" applyAlignment="1">
      <alignment horizontal="center" vertical="center" wrapText="1"/>
    </xf>
    <xf numFmtId="0" fontId="6" fillId="4" borderId="1" xfId="1" applyFont="1" applyFill="1" applyBorder="1" applyAlignment="1">
      <alignment horizontal="center" vertical="center" textRotation="90" wrapText="1"/>
    </xf>
    <xf numFmtId="0" fontId="6" fillId="5" borderId="1" xfId="1" applyFont="1" applyFill="1" applyBorder="1" applyAlignment="1">
      <alignment horizontal="center" vertical="center" textRotation="90" wrapText="1"/>
    </xf>
    <xf numFmtId="0" fontId="3" fillId="7" borderId="1" xfId="1" applyFont="1" applyFill="1" applyBorder="1" applyAlignment="1">
      <alignment horizontal="center" vertical="center" wrapText="1"/>
    </xf>
    <xf numFmtId="0" fontId="4" fillId="0" borderId="0" xfId="1" applyFont="1" applyAlignment="1">
      <alignment vertical="center" textRotation="90" wrapText="1"/>
    </xf>
    <xf numFmtId="0" fontId="6" fillId="3" borderId="1" xfId="1" applyFont="1" applyFill="1" applyBorder="1" applyAlignment="1">
      <alignment horizontal="center" vertical="center" wrapText="1"/>
    </xf>
    <xf numFmtId="0" fontId="6" fillId="6" borderId="1" xfId="1" applyFont="1" applyFill="1" applyBorder="1" applyAlignment="1">
      <alignment horizontal="center" vertical="center" textRotation="90" wrapText="1"/>
    </xf>
    <xf numFmtId="0" fontId="6" fillId="0" borderId="0" xfId="1" applyFont="1" applyAlignment="1">
      <alignment horizontal="center" vertical="center" wrapText="1"/>
    </xf>
    <xf numFmtId="0" fontId="3" fillId="8" borderId="1" xfId="1" applyFont="1" applyFill="1" applyBorder="1" applyAlignment="1">
      <alignment horizontal="center" vertical="center" wrapText="1"/>
    </xf>
    <xf numFmtId="0" fontId="5" fillId="0" borderId="0" xfId="1" applyFont="1" applyAlignment="1">
      <alignment horizontal="center" vertical="center" wrapText="1"/>
    </xf>
    <xf numFmtId="0" fontId="8" fillId="0" borderId="0" xfId="1" applyFont="1" applyAlignment="1">
      <alignment vertical="center" textRotation="90" wrapText="1"/>
    </xf>
    <xf numFmtId="0" fontId="3" fillId="9" borderId="0" xfId="1" applyFont="1" applyFill="1" applyAlignment="1">
      <alignment horizontal="center" vertical="center" wrapText="1"/>
    </xf>
  </cellXfs>
  <cellStyles count="2">
    <cellStyle name="Normal" xfId="0" builtinId="0"/>
    <cellStyle name="Normal 2" xfId="1" xr:uid="{827DEC9C-2695-4472-A0B0-4CDBDBC7B2F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F4FC6-B306-4313-9A22-50D953A77C07}">
  <sheetPr codeName="Sheet1"/>
  <dimension ref="A1:AH5"/>
  <sheetViews>
    <sheetView zoomScale="110" zoomScaleNormal="110" workbookViewId="0">
      <pane xSplit="3" ySplit="2" topLeftCell="Z3" activePane="bottomRight" state="frozen"/>
      <selection activeCell="C4" sqref="C4"/>
      <selection pane="topRight" activeCell="C4" sqref="C4"/>
      <selection pane="bottomLeft" activeCell="C4" sqref="C4"/>
      <selection pane="bottomRight" activeCell="AA3" sqref="AA3"/>
    </sheetView>
  </sheetViews>
  <sheetFormatPr defaultColWidth="9.28515625" defaultRowHeight="12" x14ac:dyDescent="0.2"/>
  <cols>
    <col min="1" max="1" width="1.7109375" style="1" customWidth="1"/>
    <col min="2" max="2" width="3.28515625" style="1" customWidth="1"/>
    <col min="3" max="3" width="27.5703125" style="1" customWidth="1"/>
    <col min="4" max="4" width="10.42578125" style="1" customWidth="1"/>
    <col min="5" max="5" width="11.7109375" style="1" customWidth="1"/>
    <col min="6" max="6" width="27.7109375" style="1" customWidth="1"/>
    <col min="7" max="7" width="9.5703125" style="1" customWidth="1"/>
    <col min="8" max="8" width="22" style="1" customWidth="1"/>
    <col min="9" max="9" width="35.28515625" style="1" customWidth="1"/>
    <col min="10" max="10" width="16.7109375" style="1" customWidth="1"/>
    <col min="11" max="11" width="33" style="1" customWidth="1"/>
    <col min="12" max="12" width="18" style="1" customWidth="1"/>
    <col min="13" max="14" width="12.28515625" style="1" customWidth="1"/>
    <col min="15" max="15" width="11.7109375" style="1" customWidth="1"/>
    <col min="16" max="16" width="13.5703125" style="1" customWidth="1"/>
    <col min="17" max="17" width="8.85546875" style="1" bestFit="1" customWidth="1"/>
    <col min="18" max="18" width="9.5703125" style="1" bestFit="1" customWidth="1"/>
    <col min="19" max="24" width="5.42578125" style="1" hidden="1" customWidth="1"/>
    <col min="25" max="25" width="9.7109375" style="1" bestFit="1" customWidth="1"/>
    <col min="26" max="26" width="11.140625" style="1" bestFit="1" customWidth="1"/>
    <col min="27" max="28" width="14.42578125" style="1" customWidth="1"/>
    <col min="29" max="29" width="9.7109375" style="1" customWidth="1"/>
    <col min="30" max="30" width="24.7109375" style="1" customWidth="1"/>
    <col min="31" max="31" width="19.28515625" style="1" customWidth="1"/>
    <col min="32" max="32" width="20" style="1" customWidth="1"/>
    <col min="33" max="33" width="26.42578125" style="1" customWidth="1"/>
    <col min="34" max="16384" width="9.28515625" style="1"/>
  </cols>
  <sheetData>
    <row r="1" spans="1:34" x14ac:dyDescent="0.2">
      <c r="B1" s="2" t="s">
        <v>39</v>
      </c>
    </row>
    <row r="2" spans="1:34" s="3" customFormat="1" ht="96.75" x14ac:dyDescent="0.2">
      <c r="B2" s="4" t="s">
        <v>0</v>
      </c>
      <c r="C2" s="4" t="s">
        <v>1</v>
      </c>
      <c r="D2" s="4" t="s">
        <v>2</v>
      </c>
      <c r="E2" s="4" t="s">
        <v>3</v>
      </c>
      <c r="F2" s="4" t="s">
        <v>4</v>
      </c>
      <c r="G2" s="4" t="s">
        <v>5</v>
      </c>
      <c r="H2" s="4" t="s">
        <v>6</v>
      </c>
      <c r="I2" s="4" t="s">
        <v>7</v>
      </c>
      <c r="J2" s="4" t="s">
        <v>8</v>
      </c>
      <c r="K2" s="4" t="s">
        <v>9</v>
      </c>
      <c r="L2" s="4" t="s">
        <v>40</v>
      </c>
      <c r="M2" s="4" t="s">
        <v>10</v>
      </c>
      <c r="N2" s="4" t="s">
        <v>11</v>
      </c>
      <c r="O2" s="4" t="s">
        <v>12</v>
      </c>
      <c r="P2" s="4" t="s">
        <v>13</v>
      </c>
      <c r="Q2" s="4" t="s">
        <v>14</v>
      </c>
      <c r="R2" s="4" t="s">
        <v>15</v>
      </c>
      <c r="S2" s="5" t="s">
        <v>16</v>
      </c>
      <c r="T2" s="5" t="s">
        <v>17</v>
      </c>
      <c r="U2" s="5" t="s">
        <v>18</v>
      </c>
      <c r="V2" s="5" t="s">
        <v>19</v>
      </c>
      <c r="W2" s="5" t="s">
        <v>20</v>
      </c>
      <c r="X2" s="5" t="s">
        <v>21</v>
      </c>
      <c r="Y2" s="4" t="s">
        <v>22</v>
      </c>
      <c r="Z2" s="4" t="s">
        <v>23</v>
      </c>
      <c r="AA2" s="4" t="s">
        <v>24</v>
      </c>
      <c r="AB2" s="4" t="s">
        <v>25</v>
      </c>
      <c r="AC2" s="4" t="s">
        <v>26</v>
      </c>
      <c r="AD2" s="19" t="s">
        <v>27</v>
      </c>
      <c r="AE2" s="22" t="s">
        <v>179</v>
      </c>
      <c r="AF2" s="4" t="s">
        <v>41</v>
      </c>
      <c r="AG2" s="14" t="s">
        <v>28</v>
      </c>
      <c r="AH2" s="3" t="s">
        <v>182</v>
      </c>
    </row>
    <row r="3" spans="1:34" s="3" customFormat="1" ht="144" x14ac:dyDescent="0.2">
      <c r="A3" s="6"/>
      <c r="B3" s="7">
        <v>1</v>
      </c>
      <c r="C3" s="8" t="s">
        <v>42</v>
      </c>
      <c r="D3" s="8" t="s">
        <v>43</v>
      </c>
      <c r="E3" s="8" t="s">
        <v>44</v>
      </c>
      <c r="F3" s="8" t="s">
        <v>45</v>
      </c>
      <c r="G3" s="8" t="s">
        <v>46</v>
      </c>
      <c r="H3" s="8" t="s">
        <v>47</v>
      </c>
      <c r="I3" s="8" t="s">
        <v>162</v>
      </c>
      <c r="J3" s="8" t="s">
        <v>163</v>
      </c>
      <c r="K3" s="8" t="s">
        <v>48</v>
      </c>
      <c r="L3" s="8" t="s">
        <v>49</v>
      </c>
      <c r="M3" s="8" t="s">
        <v>50</v>
      </c>
      <c r="N3" s="8" t="s">
        <v>32</v>
      </c>
      <c r="O3" s="9" t="s">
        <v>51</v>
      </c>
      <c r="P3" s="8" t="s">
        <v>52</v>
      </c>
      <c r="Q3" s="8" t="s">
        <v>53</v>
      </c>
      <c r="R3" s="8" t="s">
        <v>54</v>
      </c>
      <c r="S3" s="10"/>
      <c r="T3" s="10"/>
      <c r="U3" s="10"/>
      <c r="V3" s="10"/>
      <c r="W3" s="10"/>
      <c r="X3" s="10"/>
      <c r="Y3" s="8" t="s">
        <v>55</v>
      </c>
      <c r="Z3" s="8" t="s">
        <v>38</v>
      </c>
      <c r="AA3" s="8" t="s">
        <v>56</v>
      </c>
      <c r="AB3" s="8" t="s">
        <v>57</v>
      </c>
      <c r="AC3" s="8" t="s">
        <v>58</v>
      </c>
      <c r="AD3" s="8" t="s">
        <v>192</v>
      </c>
      <c r="AE3" s="3" t="s">
        <v>180</v>
      </c>
      <c r="AF3" s="8" t="s">
        <v>192</v>
      </c>
      <c r="AG3" s="8" t="s">
        <v>30</v>
      </c>
      <c r="AH3" s="3" t="s">
        <v>183</v>
      </c>
    </row>
    <row r="4" spans="1:34" s="3" customFormat="1" ht="144" x14ac:dyDescent="0.2">
      <c r="A4" s="6"/>
      <c r="B4" s="11">
        <f>B3+1</f>
        <v>2</v>
      </c>
      <c r="C4" s="8" t="s">
        <v>59</v>
      </c>
      <c r="D4" s="8" t="s">
        <v>60</v>
      </c>
      <c r="E4" s="8" t="s">
        <v>61</v>
      </c>
      <c r="F4" s="8" t="s">
        <v>164</v>
      </c>
      <c r="G4" s="8" t="s">
        <v>35</v>
      </c>
      <c r="H4" s="8" t="s">
        <v>165</v>
      </c>
      <c r="I4" s="8" t="s">
        <v>62</v>
      </c>
      <c r="J4" s="8" t="s">
        <v>166</v>
      </c>
      <c r="K4" s="8" t="s">
        <v>167</v>
      </c>
      <c r="L4" s="8" t="s">
        <v>63</v>
      </c>
      <c r="M4" s="8" t="s">
        <v>64</v>
      </c>
      <c r="N4" s="8" t="s">
        <v>65</v>
      </c>
      <c r="O4" s="8" t="s">
        <v>36</v>
      </c>
      <c r="P4" s="8" t="s">
        <v>66</v>
      </c>
      <c r="Q4" s="8" t="s">
        <v>67</v>
      </c>
      <c r="R4" s="8" t="s">
        <v>68</v>
      </c>
      <c r="S4" s="12"/>
      <c r="T4" s="12"/>
      <c r="U4" s="12"/>
      <c r="V4" s="12"/>
      <c r="W4" s="12"/>
      <c r="X4" s="12"/>
      <c r="Y4" s="9" t="s">
        <v>69</v>
      </c>
      <c r="Z4" s="8" t="s">
        <v>70</v>
      </c>
      <c r="AA4" s="8" t="s">
        <v>56</v>
      </c>
      <c r="AB4" s="8" t="s">
        <v>71</v>
      </c>
      <c r="AC4" s="8" t="s">
        <v>58</v>
      </c>
      <c r="AD4" s="8" t="s">
        <v>192</v>
      </c>
      <c r="AE4" s="3" t="s">
        <v>180</v>
      </c>
      <c r="AF4" s="8" t="s">
        <v>72</v>
      </c>
      <c r="AG4" s="8" t="s">
        <v>30</v>
      </c>
      <c r="AH4" s="3" t="s">
        <v>184</v>
      </c>
    </row>
    <row r="5" spans="1:34" ht="127.9" customHeight="1" x14ac:dyDescent="0.2">
      <c r="A5" s="6"/>
      <c r="B5" s="7">
        <f>B4+1</f>
        <v>3</v>
      </c>
      <c r="C5" s="8" t="s">
        <v>73</v>
      </c>
      <c r="D5" s="8" t="s">
        <v>60</v>
      </c>
      <c r="E5" s="8" t="s">
        <v>74</v>
      </c>
      <c r="F5" s="8" t="s">
        <v>75</v>
      </c>
      <c r="G5" s="8" t="s">
        <v>35</v>
      </c>
      <c r="H5" s="8" t="s">
        <v>76</v>
      </c>
      <c r="I5" s="8" t="s">
        <v>77</v>
      </c>
      <c r="J5" s="9" t="s">
        <v>31</v>
      </c>
      <c r="K5" s="9" t="s">
        <v>78</v>
      </c>
      <c r="L5" s="8" t="s">
        <v>79</v>
      </c>
      <c r="M5" s="8" t="s">
        <v>80</v>
      </c>
      <c r="N5" s="8" t="s">
        <v>29</v>
      </c>
      <c r="O5" s="9" t="s">
        <v>81</v>
      </c>
      <c r="P5" s="8" t="s">
        <v>82</v>
      </c>
      <c r="Q5" s="8" t="s">
        <v>83</v>
      </c>
      <c r="R5" s="8" t="s">
        <v>84</v>
      </c>
      <c r="S5" s="13"/>
      <c r="T5" s="13"/>
      <c r="U5" s="13"/>
      <c r="V5" s="13"/>
      <c r="W5" s="13"/>
      <c r="X5" s="13"/>
      <c r="Y5" s="8" t="s">
        <v>34</v>
      </c>
      <c r="Z5" s="8" t="s">
        <v>85</v>
      </c>
      <c r="AA5" s="8" t="s">
        <v>56</v>
      </c>
      <c r="AB5" s="8" t="s">
        <v>86</v>
      </c>
      <c r="AC5" s="8" t="s">
        <v>87</v>
      </c>
      <c r="AD5" s="8"/>
      <c r="AE5" s="8" t="s">
        <v>198</v>
      </c>
      <c r="AF5" s="8"/>
      <c r="AG5" s="8" t="s">
        <v>199</v>
      </c>
      <c r="AH5" s="3" t="s">
        <v>185</v>
      </c>
    </row>
  </sheetData>
  <pageMargins left="0" right="0" top="0" bottom="0" header="0" footer="0"/>
  <pageSetup paperSize="9" scale="5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BBC7A-06CE-4B32-84B6-484DDA2E3FD2}">
  <sheetPr codeName="Sheet2"/>
  <dimension ref="A1:AH9"/>
  <sheetViews>
    <sheetView tabSelected="1" zoomScaleNormal="100" workbookViewId="0">
      <pane xSplit="3" ySplit="2" topLeftCell="D3" activePane="bottomRight" state="frozen"/>
      <selection activeCell="C4" sqref="C4"/>
      <selection pane="topRight" activeCell="C4" sqref="C4"/>
      <selection pane="bottomLeft" activeCell="C4" sqref="C4"/>
      <selection pane="bottomRight" activeCell="I2" sqref="I2"/>
    </sheetView>
  </sheetViews>
  <sheetFormatPr defaultColWidth="9.28515625" defaultRowHeight="12" x14ac:dyDescent="0.2"/>
  <cols>
    <col min="1" max="1" width="1.28515625" style="1" customWidth="1"/>
    <col min="2" max="2" width="3.28515625" style="1" customWidth="1"/>
    <col min="3" max="3" width="27.5703125" style="1" customWidth="1"/>
    <col min="4" max="4" width="14.85546875" style="1" customWidth="1"/>
    <col min="5" max="5" width="14.28515625" style="1" customWidth="1"/>
    <col min="6" max="6" width="27.7109375" style="1" customWidth="1"/>
    <col min="7" max="7" width="9.5703125" style="1" customWidth="1"/>
    <col min="8" max="8" width="22" style="1" customWidth="1"/>
    <col min="9" max="9" width="35.28515625" style="1" customWidth="1"/>
    <col min="10" max="10" width="20.42578125" style="1" customWidth="1"/>
    <col min="11" max="11" width="33" style="1" customWidth="1"/>
    <col min="12" max="12" width="22" style="1" customWidth="1"/>
    <col min="13" max="14" width="12.28515625" style="1" customWidth="1"/>
    <col min="15" max="15" width="11.7109375" style="1" customWidth="1"/>
    <col min="16" max="16" width="13.5703125" style="1" customWidth="1"/>
    <col min="17" max="17" width="10" style="1" customWidth="1"/>
    <col min="18" max="18" width="9.5703125" style="1" bestFit="1" customWidth="1"/>
    <col min="19" max="24" width="5.42578125" style="1" hidden="1" customWidth="1"/>
    <col min="25" max="25" width="9.7109375" style="1" bestFit="1" customWidth="1"/>
    <col min="26" max="26" width="11.140625" style="1" bestFit="1" customWidth="1"/>
    <col min="27" max="28" width="14.42578125" style="1" customWidth="1"/>
    <col min="29" max="29" width="9.7109375" style="1" customWidth="1"/>
    <col min="30" max="30" width="24.7109375" style="1" customWidth="1"/>
    <col min="31" max="31" width="24.5703125" style="1" customWidth="1"/>
    <col min="32" max="32" width="20" style="1" customWidth="1"/>
    <col min="33" max="33" width="26.42578125" style="1" customWidth="1"/>
    <col min="34" max="16384" width="9.28515625" style="1"/>
  </cols>
  <sheetData>
    <row r="1" spans="1:34" x14ac:dyDescent="0.2">
      <c r="B1" s="2" t="s">
        <v>39</v>
      </c>
    </row>
    <row r="2" spans="1:34" s="3" customFormat="1" ht="127.15" customHeight="1" x14ac:dyDescent="0.2">
      <c r="B2" s="4" t="s">
        <v>0</v>
      </c>
      <c r="C2" s="4" t="s">
        <v>1</v>
      </c>
      <c r="D2" s="4" t="s">
        <v>2</v>
      </c>
      <c r="E2" s="4" t="s">
        <v>3</v>
      </c>
      <c r="F2" s="4" t="s">
        <v>4</v>
      </c>
      <c r="G2" s="4" t="s">
        <v>5</v>
      </c>
      <c r="H2" s="4" t="s">
        <v>6</v>
      </c>
      <c r="I2" s="4" t="s">
        <v>7</v>
      </c>
      <c r="J2" s="4" t="s">
        <v>8</v>
      </c>
      <c r="K2" s="4" t="s">
        <v>9</v>
      </c>
      <c r="L2" s="4" t="s">
        <v>40</v>
      </c>
      <c r="M2" s="4" t="s">
        <v>10</v>
      </c>
      <c r="N2" s="4" t="s">
        <v>11</v>
      </c>
      <c r="O2" s="4" t="s">
        <v>12</v>
      </c>
      <c r="P2" s="4" t="s">
        <v>13</v>
      </c>
      <c r="Q2" s="4" t="s">
        <v>14</v>
      </c>
      <c r="R2" s="4" t="s">
        <v>15</v>
      </c>
      <c r="S2" s="5" t="s">
        <v>16</v>
      </c>
      <c r="T2" s="5" t="s">
        <v>17</v>
      </c>
      <c r="U2" s="5" t="s">
        <v>18</v>
      </c>
      <c r="V2" s="5" t="s">
        <v>19</v>
      </c>
      <c r="W2" s="5" t="s">
        <v>20</v>
      </c>
      <c r="X2" s="5" t="s">
        <v>21</v>
      </c>
      <c r="Y2" s="4" t="s">
        <v>22</v>
      </c>
      <c r="Z2" s="4" t="s">
        <v>23</v>
      </c>
      <c r="AA2" s="4" t="s">
        <v>24</v>
      </c>
      <c r="AB2" s="4" t="s">
        <v>25</v>
      </c>
      <c r="AC2" s="4" t="s">
        <v>26</v>
      </c>
      <c r="AD2" s="4" t="s">
        <v>27</v>
      </c>
      <c r="AE2" s="22" t="s">
        <v>179</v>
      </c>
      <c r="AF2" s="4" t="s">
        <v>191</v>
      </c>
      <c r="AG2" s="14" t="s">
        <v>28</v>
      </c>
      <c r="AH2" s="3" t="s">
        <v>182</v>
      </c>
    </row>
    <row r="3" spans="1:34" s="3" customFormat="1" ht="108" x14ac:dyDescent="0.2">
      <c r="A3" s="6"/>
      <c r="B3" s="7">
        <f>3+1</f>
        <v>4</v>
      </c>
      <c r="C3" s="8" t="s">
        <v>92</v>
      </c>
      <c r="D3" s="8" t="s">
        <v>60</v>
      </c>
      <c r="E3" s="8" t="s">
        <v>93</v>
      </c>
      <c r="F3" s="9" t="s">
        <v>94</v>
      </c>
      <c r="G3" s="8" t="s">
        <v>35</v>
      </c>
      <c r="H3" s="8" t="s">
        <v>95</v>
      </c>
      <c r="I3" s="8" t="s">
        <v>96</v>
      </c>
      <c r="J3" s="8" t="s">
        <v>97</v>
      </c>
      <c r="K3" s="8" t="s">
        <v>168</v>
      </c>
      <c r="L3" s="9" t="s">
        <v>169</v>
      </c>
      <c r="M3" s="9" t="s">
        <v>170</v>
      </c>
      <c r="N3" s="8" t="s">
        <v>37</v>
      </c>
      <c r="O3" s="8" t="s">
        <v>98</v>
      </c>
      <c r="P3" s="8" t="s">
        <v>99</v>
      </c>
      <c r="Q3" s="8" t="s">
        <v>100</v>
      </c>
      <c r="R3" s="8" t="s">
        <v>101</v>
      </c>
      <c r="S3" s="10"/>
      <c r="T3" s="10"/>
      <c r="U3" s="10"/>
      <c r="V3" s="10"/>
      <c r="W3" s="10"/>
      <c r="X3" s="10"/>
      <c r="Y3" s="8" t="s">
        <v>102</v>
      </c>
      <c r="Z3" s="8" t="s">
        <v>90</v>
      </c>
      <c r="AA3" s="9" t="s">
        <v>88</v>
      </c>
      <c r="AB3" s="8" t="s">
        <v>89</v>
      </c>
      <c r="AC3" s="9" t="s">
        <v>91</v>
      </c>
      <c r="AD3" s="8" t="s">
        <v>193</v>
      </c>
      <c r="AE3" s="8" t="s">
        <v>180</v>
      </c>
      <c r="AF3" s="8" t="s">
        <v>193</v>
      </c>
      <c r="AG3" s="8" t="s">
        <v>30</v>
      </c>
      <c r="AH3" s="3" t="s">
        <v>186</v>
      </c>
    </row>
    <row r="4" spans="1:34" s="18" customFormat="1" ht="132" x14ac:dyDescent="0.2">
      <c r="A4" s="15"/>
      <c r="B4" s="16">
        <f t="shared" ref="B4:B8" si="0">B3+1</f>
        <v>5</v>
      </c>
      <c r="C4" s="9" t="s">
        <v>103</v>
      </c>
      <c r="D4" s="9" t="s">
        <v>60</v>
      </c>
      <c r="E4" s="9" t="s">
        <v>104</v>
      </c>
      <c r="F4" s="9" t="s">
        <v>105</v>
      </c>
      <c r="G4" s="9" t="s">
        <v>35</v>
      </c>
      <c r="H4" s="9" t="s">
        <v>106</v>
      </c>
      <c r="I4" s="9" t="s">
        <v>107</v>
      </c>
      <c r="J4" s="9" t="s">
        <v>108</v>
      </c>
      <c r="K4" s="9" t="s">
        <v>171</v>
      </c>
      <c r="L4" s="9" t="s">
        <v>178</v>
      </c>
      <c r="M4" s="9" t="s">
        <v>109</v>
      </c>
      <c r="N4" s="9" t="s">
        <v>29</v>
      </c>
      <c r="O4" s="9" t="s">
        <v>36</v>
      </c>
      <c r="P4" s="9" t="s">
        <v>110</v>
      </c>
      <c r="Q4" s="9" t="s">
        <v>111</v>
      </c>
      <c r="R4" s="9" t="s">
        <v>112</v>
      </c>
      <c r="S4" s="17"/>
      <c r="T4" s="17"/>
      <c r="U4" s="17"/>
      <c r="V4" s="17"/>
      <c r="W4" s="17"/>
      <c r="X4" s="17"/>
      <c r="Y4" s="9" t="s">
        <v>34</v>
      </c>
      <c r="Z4" s="9" t="s">
        <v>90</v>
      </c>
      <c r="AA4" s="9" t="s">
        <v>176</v>
      </c>
      <c r="AB4" s="9" t="s">
        <v>89</v>
      </c>
      <c r="AC4" s="9" t="s">
        <v>33</v>
      </c>
      <c r="AD4" s="8" t="s">
        <v>194</v>
      </c>
      <c r="AE4" s="8" t="s">
        <v>180</v>
      </c>
      <c r="AF4" s="8" t="s">
        <v>194</v>
      </c>
      <c r="AG4" s="9"/>
      <c r="AH4" s="18" t="s">
        <v>187</v>
      </c>
    </row>
    <row r="5" spans="1:34" s="3" customFormat="1" ht="96" x14ac:dyDescent="0.2">
      <c r="A5" s="6"/>
      <c r="B5" s="8">
        <f t="shared" si="0"/>
        <v>6</v>
      </c>
      <c r="C5" s="8" t="s">
        <v>113</v>
      </c>
      <c r="D5" s="8" t="s">
        <v>60</v>
      </c>
      <c r="E5" s="8" t="s">
        <v>114</v>
      </c>
      <c r="F5" s="8" t="s">
        <v>115</v>
      </c>
      <c r="G5" s="8" t="s">
        <v>35</v>
      </c>
      <c r="H5" s="8" t="s">
        <v>116</v>
      </c>
      <c r="I5" s="8" t="s">
        <v>117</v>
      </c>
      <c r="J5" s="8" t="s">
        <v>118</v>
      </c>
      <c r="K5" s="8" t="s">
        <v>172</v>
      </c>
      <c r="L5" s="8" t="s">
        <v>119</v>
      </c>
      <c r="M5" s="8" t="s">
        <v>120</v>
      </c>
      <c r="N5" s="8" t="s">
        <v>32</v>
      </c>
      <c r="O5" s="8" t="s">
        <v>121</v>
      </c>
      <c r="P5" s="8" t="s">
        <v>122</v>
      </c>
      <c r="Q5" s="8" t="s">
        <v>123</v>
      </c>
      <c r="R5" s="8" t="s">
        <v>124</v>
      </c>
      <c r="S5" s="10"/>
      <c r="T5" s="10"/>
      <c r="U5" s="10"/>
      <c r="V5" s="10"/>
      <c r="W5" s="10"/>
      <c r="X5" s="10"/>
      <c r="Y5" s="8" t="s">
        <v>34</v>
      </c>
      <c r="Z5" s="8" t="s">
        <v>90</v>
      </c>
      <c r="AA5" s="9" t="s">
        <v>88</v>
      </c>
      <c r="AB5" s="8" t="s">
        <v>125</v>
      </c>
      <c r="AC5" s="8" t="s">
        <v>126</v>
      </c>
      <c r="AD5" s="8" t="s">
        <v>195</v>
      </c>
      <c r="AE5" s="8" t="s">
        <v>180</v>
      </c>
      <c r="AF5" s="8" t="s">
        <v>195</v>
      </c>
      <c r="AG5" s="8"/>
      <c r="AH5" s="3" t="s">
        <v>188</v>
      </c>
    </row>
    <row r="6" spans="1:34" s="20" customFormat="1" ht="132" x14ac:dyDescent="0.2">
      <c r="A6" s="21"/>
      <c r="B6" s="9">
        <f t="shared" si="0"/>
        <v>7</v>
      </c>
      <c r="C6" s="9" t="s">
        <v>127</v>
      </c>
      <c r="D6" s="9" t="s">
        <v>60</v>
      </c>
      <c r="E6" s="9" t="s">
        <v>114</v>
      </c>
      <c r="F6" s="9" t="s">
        <v>128</v>
      </c>
      <c r="G6" s="9" t="s">
        <v>35</v>
      </c>
      <c r="H6" s="9" t="s">
        <v>129</v>
      </c>
      <c r="I6" s="9" t="s">
        <v>173</v>
      </c>
      <c r="J6" s="9" t="s">
        <v>118</v>
      </c>
      <c r="K6" s="9" t="s">
        <v>174</v>
      </c>
      <c r="L6" s="9" t="s">
        <v>181</v>
      </c>
      <c r="M6" s="9" t="s">
        <v>130</v>
      </c>
      <c r="N6" s="9" t="s">
        <v>32</v>
      </c>
      <c r="O6" s="9" t="s">
        <v>81</v>
      </c>
      <c r="P6" s="9" t="s">
        <v>122</v>
      </c>
      <c r="Q6" s="9" t="s">
        <v>131</v>
      </c>
      <c r="R6" s="9" t="s">
        <v>132</v>
      </c>
      <c r="S6" s="10"/>
      <c r="T6" s="10"/>
      <c r="U6" s="10"/>
      <c r="V6" s="10"/>
      <c r="W6" s="10"/>
      <c r="X6" s="10"/>
      <c r="Y6" s="9" t="s">
        <v>34</v>
      </c>
      <c r="Z6" s="9" t="s">
        <v>90</v>
      </c>
      <c r="AA6" s="9" t="s">
        <v>176</v>
      </c>
      <c r="AB6" s="9" t="s">
        <v>125</v>
      </c>
      <c r="AC6" s="9" t="s">
        <v>133</v>
      </c>
      <c r="AD6" s="8" t="s">
        <v>196</v>
      </c>
      <c r="AE6" s="9" t="s">
        <v>180</v>
      </c>
      <c r="AF6" s="8" t="s">
        <v>196</v>
      </c>
      <c r="AG6" s="9"/>
      <c r="AH6" s="3" t="s">
        <v>188</v>
      </c>
    </row>
    <row r="7" spans="1:34" s="3" customFormat="1" ht="108" x14ac:dyDescent="0.2">
      <c r="A7" s="6"/>
      <c r="B7" s="7">
        <f t="shared" si="0"/>
        <v>8</v>
      </c>
      <c r="C7" s="8" t="s">
        <v>134</v>
      </c>
      <c r="D7" s="8" t="s">
        <v>60</v>
      </c>
      <c r="E7" s="8" t="s">
        <v>135</v>
      </c>
      <c r="F7" s="8" t="s">
        <v>136</v>
      </c>
      <c r="G7" s="8" t="s">
        <v>31</v>
      </c>
      <c r="H7" s="8" t="s">
        <v>137</v>
      </c>
      <c r="I7" s="8" t="s">
        <v>138</v>
      </c>
      <c r="J7" s="9" t="s">
        <v>31</v>
      </c>
      <c r="K7" s="9" t="s">
        <v>175</v>
      </c>
      <c r="L7" s="8" t="s">
        <v>139</v>
      </c>
      <c r="M7" s="8" t="s">
        <v>140</v>
      </c>
      <c r="N7" s="8" t="s">
        <v>29</v>
      </c>
      <c r="O7" s="8" t="s">
        <v>121</v>
      </c>
      <c r="P7" s="8" t="s">
        <v>141</v>
      </c>
      <c r="Q7" s="8" t="s">
        <v>142</v>
      </c>
      <c r="R7" s="8" t="s">
        <v>143</v>
      </c>
      <c r="S7" s="10"/>
      <c r="T7" s="10"/>
      <c r="U7" s="10"/>
      <c r="V7" s="10"/>
      <c r="W7" s="10"/>
      <c r="X7" s="10"/>
      <c r="Y7" s="8" t="s">
        <v>34</v>
      </c>
      <c r="Z7" s="8" t="s">
        <v>90</v>
      </c>
      <c r="AA7" s="9" t="s">
        <v>88</v>
      </c>
      <c r="AB7" s="8" t="s">
        <v>144</v>
      </c>
      <c r="AC7" s="8" t="s">
        <v>145</v>
      </c>
      <c r="AD7" s="8" t="s">
        <v>197</v>
      </c>
      <c r="AE7" s="9" t="s">
        <v>180</v>
      </c>
      <c r="AF7" s="8" t="s">
        <v>197</v>
      </c>
      <c r="AG7" s="8"/>
      <c r="AH7" s="3" t="s">
        <v>189</v>
      </c>
    </row>
    <row r="8" spans="1:34" s="3" customFormat="1" ht="120" x14ac:dyDescent="0.2">
      <c r="A8" s="6"/>
      <c r="B8" s="7">
        <f t="shared" si="0"/>
        <v>9</v>
      </c>
      <c r="C8" s="8" t="s">
        <v>146</v>
      </c>
      <c r="D8" s="8" t="s">
        <v>60</v>
      </c>
      <c r="E8" s="8" t="s">
        <v>147</v>
      </c>
      <c r="F8" s="8" t="s">
        <v>148</v>
      </c>
      <c r="G8" s="8" t="s">
        <v>149</v>
      </c>
      <c r="H8" s="8" t="s">
        <v>150</v>
      </c>
      <c r="I8" s="8" t="s">
        <v>151</v>
      </c>
      <c r="J8" s="9" t="s">
        <v>31</v>
      </c>
      <c r="K8" s="9" t="s">
        <v>152</v>
      </c>
      <c r="L8" s="8" t="s">
        <v>153</v>
      </c>
      <c r="M8" s="8" t="s">
        <v>154</v>
      </c>
      <c r="N8" s="8" t="s">
        <v>155</v>
      </c>
      <c r="O8" s="8" t="s">
        <v>156</v>
      </c>
      <c r="P8" s="8" t="s">
        <v>157</v>
      </c>
      <c r="Q8" s="8" t="s">
        <v>142</v>
      </c>
      <c r="R8" s="8" t="s">
        <v>158</v>
      </c>
      <c r="S8" s="10"/>
      <c r="T8" s="10"/>
      <c r="U8" s="10"/>
      <c r="V8" s="10"/>
      <c r="W8" s="10"/>
      <c r="X8" s="10"/>
      <c r="Y8" s="8" t="s">
        <v>159</v>
      </c>
      <c r="Z8" s="8" t="s">
        <v>160</v>
      </c>
      <c r="AA8" s="9" t="s">
        <v>88</v>
      </c>
      <c r="AB8" s="8" t="s">
        <v>125</v>
      </c>
      <c r="AC8" s="8" t="s">
        <v>161</v>
      </c>
      <c r="AD8" s="8" t="s">
        <v>197</v>
      </c>
      <c r="AE8" s="9" t="s">
        <v>180</v>
      </c>
      <c r="AF8" s="8" t="s">
        <v>197</v>
      </c>
      <c r="AG8" s="8"/>
      <c r="AH8" s="3" t="s">
        <v>190</v>
      </c>
    </row>
    <row r="9" spans="1:34" x14ac:dyDescent="0.2">
      <c r="L9" s="1"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 O2C - Part A</vt:lpstr>
      <vt:lpstr>Report O2C - Part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SNT DDS</cp:lastModifiedBy>
  <cp:revision>1</cp:revision>
  <dcterms:created xsi:type="dcterms:W3CDTF">2025-01-06T08:41:47Z</dcterms:created>
  <dcterms:modified xsi:type="dcterms:W3CDTF">2025-12-29T06:17:32Z</dcterms:modified>
  <cp:category/>
</cp:coreProperties>
</file>